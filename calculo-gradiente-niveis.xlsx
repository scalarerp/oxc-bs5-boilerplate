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ini-indice-calculo-gradiente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<sst xmlns="http://schemas.openxmlformats.org/spreadsheetml/2006/main" count="8" uniqueCount="8">
  <si>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stop</t>
  </si>
  <si>
    <t xml:space="preserve">valor contrato</t>
  </si>
  <si>
    <t xml:space="preserve">alvo </t>
  </si>
  <si>
    <t xml:space="preserve">pontos por nivel</t>
  </si>
  <si>
    <t>niveis</t>
  </si>
  <si>
    <t xml:space="preserve">soma stop</t>
  </si>
  <si>
    <t xml:space="preserve">soma alvo</t>
  </si>
  <si>
    <t xml:space="preserve">alvo por nivel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</si>
</sst>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[$R$-416]\ * #,##0.00_-;\-[$R$-416]\ * #,##0.00_-;_-[$R$-416]\ * &quot;-&quot;??_-;_-@_-"/>
  </numFmts>
  <fonts count="3">
    <font>
      <sz val="11.000000"/>
      <color theme="1"/>
      <name val="Calibri"/>
      <scheme val="minor"/>
    </font>
    <font>
      <b/>
      <sz val="11.000000"/>
      <color indexed="2"/>
      <name val="Calibri"/>
      <scheme val="minor"/>
    </font>
    <font>
      <b/>
      <sz val="11.000000"/>
      <color rgb="FF002060"/>
      <name val="Calibri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indexed="5"/>
        <bgColor indexed="5"/>
      </patternFill>
    </fill>
    <fill>
      <patternFill patternType="solid">
        <fgColor theme="9" tint="0.39997558519241921"/>
        <bgColor theme="9" tint="0.39997558519241921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44" applyNumberFormat="1" applyFont="0" applyFill="0" applyBorder="0"/>
  </cellStyleXfs>
  <cellXfs count="5">
    <xf fontId="0" fillId="0" borderId="0" numFmtId="0" xfId="0"/>
    <xf fontId="0" fillId="3" borderId="0" numFmtId="0" xfId="0" applyFill="1"/>
    <xf fontId="0" fillId="3" borderId="0" numFmtId="0" xfId="0" applyFill="1"/>
    <xf fontId="1" fillId="0" borderId="0" numFmtId="164" xfId="1" applyNumberFormat="1" applyFont="1"/>
    <xf fontId="2" fillId="4" borderId="0" numFmtId="164" xfId="1" applyNumberFormat="1" applyFont="1" applyFill="1"/>
  </cellXfs>
  <cellStyles count="2">
    <cellStyle name="Normal" xfId="0" builtinId="0"/>
    <cellStyle name="Currenc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29" zoomScale="100" workbookViewId="0">
      <selection activeCell="A1" activeCellId="0" sqref="A1"/>
    </sheetView>
  </sheetViews>
  <sheetFormatPr defaultRowHeight="14.25"/>
  <cols>
    <col customWidth="1" min="1" max="1" width="5.28125"/>
    <col bestFit="1" min="2" max="2" width="4.57421875"/>
    <col customWidth="1" min="3" max="3" width="8.140625"/>
    <col customWidth="1" min="4" max="4" width="25.421875"/>
    <col customWidth="1" min="5" max="5" width="7.8515625"/>
    <col customWidth="1" min="6" max="6" width="12.8515625"/>
    <col customWidth="1" min="7" max="7" width="15.7109375"/>
  </cols>
  <sheetData>
    <row r="1" ht="14.25">
      <c r="B1" t="s">
        <v>0</v>
      </c>
      <c r="D1" t="s">
        <v>1</v>
      </c>
      <c r="E1" s="1">
        <v>0.20000000000000001</v>
      </c>
    </row>
    <row r="2" ht="14.25">
      <c r="A2">
        <v>1</v>
      </c>
      <c r="B2">
        <f>IF($E$4&lt;$A2,0,($E$3*$E$4)+E3)</f>
        <v>400</v>
      </c>
      <c r="D2" t="s">
        <v>2</v>
      </c>
      <c r="E2" s="1">
        <v>2</v>
      </c>
    </row>
    <row r="3" ht="14.25">
      <c r="A3">
        <v>2</v>
      </c>
      <c r="B3">
        <f>IF($E$4&lt;$A3,0,($E$3*$E$4)+E4)</f>
        <v>303</v>
      </c>
      <c r="D3" t="s">
        <v>3</v>
      </c>
      <c r="E3" s="1">
        <v>100</v>
      </c>
    </row>
    <row r="4" ht="14.25">
      <c r="A4">
        <v>3</v>
      </c>
      <c r="B4">
        <f>IF($E$4&lt;$A4,0,($E$3*$E$4)+E5)</f>
        <v>300</v>
      </c>
      <c r="D4" t="s">
        <v>4</v>
      </c>
      <c r="E4" s="2">
        <v>3</v>
      </c>
    </row>
    <row r="5" ht="14.25">
      <c r="A5">
        <v>4</v>
      </c>
      <c r="B5">
        <f>IF($E$4&lt;$A5,0,($E$3*$E$4)+E6)</f>
        <v>0</v>
      </c>
    </row>
    <row r="6" ht="14.25">
      <c r="A6">
        <v>5</v>
      </c>
      <c r="B6">
        <f>IF($E$4&lt;$A6,0,($E$3*$E$4)+E7)</f>
        <v>0</v>
      </c>
      <c r="D6" t="s">
        <v>5</v>
      </c>
      <c r="E6" t="e">
        <f>SUM(B:B)</f>
        <v>#REF!</v>
      </c>
      <c r="F6" s="3" t="e">
        <f>E6*E1</f>
        <v>#REF!</v>
      </c>
    </row>
    <row r="7" ht="14.25">
      <c r="A7">
        <v>6</v>
      </c>
      <c r="B7">
        <f>IF($E$4&lt;$A7,0,($E$3*$E$4)+E8)</f>
        <v>0</v>
      </c>
      <c r="D7" t="s">
        <v>6</v>
      </c>
      <c r="E7">
        <f>E3*E2*E4</f>
        <v>600</v>
      </c>
      <c r="F7" s="4">
        <f>E7*E1</f>
        <v>120</v>
      </c>
    </row>
    <row r="8" ht="14.25">
      <c r="A8">
        <v>7</v>
      </c>
      <c r="B8">
        <f>IF($E$4&lt;$A8,0,($E$3*$E$4)+E9)</f>
        <v>0</v>
      </c>
    </row>
    <row r="9" ht="14.25">
      <c r="A9">
        <v>8</v>
      </c>
      <c r="B9">
        <f>IF($E$4&lt;$A9,0,($E$3*$E$4)+E10)</f>
        <v>0</v>
      </c>
      <c r="F9" t="s">
        <v>7</v>
      </c>
    </row>
    <row r="10" ht="14.25">
      <c r="A10">
        <v>9</v>
      </c>
      <c r="B10">
        <f>IF($E$4&lt;$A10,0,($E$3*$E$4)+E11)</f>
        <v>0</v>
      </c>
      <c r="F10" s="4">
        <f>E3*E2*E1</f>
        <v>40</v>
      </c>
    </row>
    <row r="11" ht="14.25">
      <c r="A11">
        <v>10</v>
      </c>
      <c r="B11">
        <f>IF($E$4&lt;$A11,0,($E$3*$E$4)+E12)</f>
        <v>0</v>
      </c>
    </row>
    <row r="12" ht="14.25">
      <c r="A12">
        <v>11</v>
      </c>
      <c r="B12">
        <f>IF($E$4&lt;$A12,0,($E$3*$E$4)+E13)</f>
        <v>0</v>
      </c>
    </row>
    <row r="13" ht="14.25">
      <c r="A13">
        <v>12</v>
      </c>
      <c r="B13">
        <f>IF($E$4&lt;$A13,0,($E$3*$E$4)+E14)</f>
        <v>0</v>
      </c>
    </row>
    <row r="14" ht="14.25">
      <c r="A14">
        <v>13</v>
      </c>
      <c r="B14">
        <f>IF($E$4&lt;$A14,0,($E$3*$E$4)+E15)</f>
        <v>0</v>
      </c>
    </row>
    <row r="15" ht="14.25"/>
    <row r="16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3</cp:revision>
  <dcterms:modified xsi:type="dcterms:W3CDTF">2026-03-12T16:47:15Z</dcterms:modified>
</cp:coreProperties>
</file>