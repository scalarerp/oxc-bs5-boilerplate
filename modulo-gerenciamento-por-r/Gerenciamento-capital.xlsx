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1)Simulação Risco" sheetId="1" state="visible" r:id="rId1"/>
    <sheet name="2)Simulação Retorno" sheetId="2" state="visible" r:id="rId2"/>
    <sheet name="3)Gerenciamento Real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<sst xmlns="http://schemas.openxmlformats.org/spreadsheetml/2006/main" count="134" uniqueCount="134">
  <si>
    <t>.</t>
  </si>
  <si>
    <t xml:space="preserve">1) Qual valor você tem para colocar no mercado?</t>
  </si>
  <si>
    <t xml:space="preserve">2) Qual percentual você vai arriscar por trade?</t>
  </si>
  <si>
    <t xml:space="preserve">3) Qual percentual você vai arriscar por dia?</t>
  </si>
  <si>
    <t xml:space="preserve">4) Qual valor mínimo seu operacional precisa de </t>
  </si>
  <si>
    <t xml:space="preserve">stop? (usando apenas 1 contrato)</t>
  </si>
  <si>
    <t xml:space="preserve">SIMULAÇÃO DE RISCO</t>
  </si>
  <si>
    <t xml:space="preserve">Caixa inicial:</t>
  </si>
  <si>
    <t xml:space="preserve">% Risco p/ trade (R):</t>
  </si>
  <si>
    <t xml:space="preserve">% Risco p/ dia:</t>
  </si>
  <si>
    <t xml:space="preserve">Mínimo R$ de risco p/ trade:</t>
  </si>
  <si>
    <t xml:space="preserve">Saldo inicial caixa</t>
  </si>
  <si>
    <t xml:space="preserve">R p/ trade</t>
  </si>
  <si>
    <t xml:space="preserve">Stop Full Dia</t>
  </si>
  <si>
    <t xml:space="preserve">Perda Full semanal</t>
  </si>
  <si>
    <t xml:space="preserve">Saldo final</t>
  </si>
  <si>
    <t xml:space="preserve">% perda do capital inicial</t>
  </si>
  <si>
    <t xml:space="preserve">Qtd trades</t>
  </si>
  <si>
    <t xml:space="preserve">SIMULAÇÃO DO RETORNO</t>
  </si>
  <si>
    <t xml:space="preserve">Qtd R p/ semana:</t>
  </si>
  <si>
    <t xml:space="preserve">Quanto vc acha que consegue fazer por semana</t>
  </si>
  <si>
    <t xml:space="preserve">Rentabilidade atual:</t>
  </si>
  <si>
    <t xml:space="preserve">Rent. p/ sem.:</t>
  </si>
  <si>
    <t>R</t>
  </si>
  <si>
    <t xml:space="preserve">R na semana</t>
  </si>
  <si>
    <t>Conquistado</t>
  </si>
  <si>
    <t xml:space="preserve">% s/ saldo</t>
  </si>
  <si>
    <t xml:space="preserve">Semana 1</t>
  </si>
  <si>
    <t xml:space="preserve">Semana 2</t>
  </si>
  <si>
    <t xml:space="preserve">Semana 3</t>
  </si>
  <si>
    <t xml:space="preserve">Semana 4</t>
  </si>
  <si>
    <t xml:space="preserve">Semana 5</t>
  </si>
  <si>
    <t xml:space="preserve">Semana 6</t>
  </si>
  <si>
    <t xml:space="preserve">Semana 7</t>
  </si>
  <si>
    <t xml:space="preserve">Semana 8</t>
  </si>
  <si>
    <t xml:space="preserve">Semana 9</t>
  </si>
  <si>
    <t xml:space="preserve">Semana 10</t>
  </si>
  <si>
    <t xml:space="preserve">Semana 11</t>
  </si>
  <si>
    <t xml:space="preserve">Semana 12</t>
  </si>
  <si>
    <t xml:space="preserve">Semana 13</t>
  </si>
  <si>
    <t xml:space="preserve">Semana 14</t>
  </si>
  <si>
    <t xml:space="preserve">Semana 15</t>
  </si>
  <si>
    <t xml:space="preserve">Semana 16</t>
  </si>
  <si>
    <t xml:space="preserve">Semana 17</t>
  </si>
  <si>
    <t xml:space="preserve">Semana 18</t>
  </si>
  <si>
    <t xml:space="preserve">Semana 19</t>
  </si>
  <si>
    <t xml:space="preserve">Semana 20</t>
  </si>
  <si>
    <t xml:space="preserve">Semana 21</t>
  </si>
  <si>
    <t xml:space="preserve">Semana 22</t>
  </si>
  <si>
    <t xml:space="preserve">Semana 23</t>
  </si>
  <si>
    <t xml:space="preserve">Semana 24</t>
  </si>
  <si>
    <t xml:space="preserve">Semana 25</t>
  </si>
  <si>
    <t xml:space="preserve">Semana 26</t>
  </si>
  <si>
    <t xml:space="preserve">Semana 27</t>
  </si>
  <si>
    <t xml:space="preserve">Semana 28</t>
  </si>
  <si>
    <t xml:space="preserve">Semana 29</t>
  </si>
  <si>
    <t xml:space="preserve">Semana 30</t>
  </si>
  <si>
    <t xml:space="preserve">Semana 31</t>
  </si>
  <si>
    <t xml:space="preserve">Semana 32</t>
  </si>
  <si>
    <t xml:space="preserve">Semana 33</t>
  </si>
  <si>
    <t xml:space="preserve">Semana 34</t>
  </si>
  <si>
    <t xml:space="preserve">Semana 35</t>
  </si>
  <si>
    <t xml:space="preserve">Semana 36</t>
  </si>
  <si>
    <t xml:space="preserve">Semana 37</t>
  </si>
  <si>
    <t xml:space="preserve">Semana 38</t>
  </si>
  <si>
    <t xml:space="preserve">Semana 39</t>
  </si>
  <si>
    <t xml:space="preserve">Semana 40</t>
  </si>
  <si>
    <t xml:space="preserve">Semana 41</t>
  </si>
  <si>
    <t xml:space="preserve">Semana 42</t>
  </si>
  <si>
    <t xml:space="preserve">Semana 43</t>
  </si>
  <si>
    <t xml:space="preserve">Semana 44</t>
  </si>
  <si>
    <t xml:space="preserve">Semana 45</t>
  </si>
  <si>
    <t xml:space="preserve">Semana 46</t>
  </si>
  <si>
    <t xml:space="preserve">Semana 47</t>
  </si>
  <si>
    <t xml:space="preserve">Semana 48</t>
  </si>
  <si>
    <t xml:space="preserve">Semana 49</t>
  </si>
  <si>
    <t xml:space="preserve">Semana 50</t>
  </si>
  <si>
    <t xml:space="preserve">Semana 51</t>
  </si>
  <si>
    <t xml:space="preserve">Semana 52</t>
  </si>
  <si>
    <t xml:space="preserve">Semana 53</t>
  </si>
  <si>
    <t xml:space="preserve">Semana 54</t>
  </si>
  <si>
    <t xml:space="preserve">Semana 55</t>
  </si>
  <si>
    <t xml:space="preserve">Semana 56</t>
  </si>
  <si>
    <t xml:space="preserve">Semana 57</t>
  </si>
  <si>
    <t xml:space="preserve">Semana 58</t>
  </si>
  <si>
    <t xml:space="preserve">Semana 59</t>
  </si>
  <si>
    <t xml:space="preserve">Semana 60</t>
  </si>
  <si>
    <t xml:space="preserve">Semana 61</t>
  </si>
  <si>
    <t xml:space="preserve">Semana 62</t>
  </si>
  <si>
    <t xml:space="preserve">Semana 63</t>
  </si>
  <si>
    <t xml:space="preserve">Semana 64</t>
  </si>
  <si>
    <t xml:space="preserve">Semana 65</t>
  </si>
  <si>
    <t xml:space="preserve">Semana 66</t>
  </si>
  <si>
    <t xml:space="preserve">Semana 67</t>
  </si>
  <si>
    <t xml:space="preserve">Semana 68</t>
  </si>
  <si>
    <t xml:space="preserve">Semana 69</t>
  </si>
  <si>
    <t xml:space="preserve">Semana 70</t>
  </si>
  <si>
    <t xml:space="preserve">Semana 71</t>
  </si>
  <si>
    <t xml:space="preserve">Semana 72</t>
  </si>
  <si>
    <t xml:space="preserve">Semana 73</t>
  </si>
  <si>
    <t xml:space="preserve">Semana 74</t>
  </si>
  <si>
    <t xml:space="preserve">Semana 75</t>
  </si>
  <si>
    <t xml:space="preserve">Semana 76</t>
  </si>
  <si>
    <t xml:space="preserve">Semana 77</t>
  </si>
  <si>
    <t xml:space="preserve">Semana 78</t>
  </si>
  <si>
    <t xml:space="preserve">Semana 79</t>
  </si>
  <si>
    <t xml:space="preserve">Semana 80</t>
  </si>
  <si>
    <t xml:space="preserve">Semana 81</t>
  </si>
  <si>
    <t xml:space="preserve">Semana 82</t>
  </si>
  <si>
    <t xml:space="preserve">Semana 83</t>
  </si>
  <si>
    <t xml:space="preserve">Semana 84</t>
  </si>
  <si>
    <t xml:space="preserve">Semana 85</t>
  </si>
  <si>
    <t xml:space="preserve">Semana 86</t>
  </si>
  <si>
    <t xml:space="preserve">Semana 87</t>
  </si>
  <si>
    <t xml:space="preserve">Semana 88</t>
  </si>
  <si>
    <t xml:space="preserve">Semana 89</t>
  </si>
  <si>
    <t xml:space="preserve">Semana 90</t>
  </si>
  <si>
    <t xml:space="preserve">Semana 91</t>
  </si>
  <si>
    <t xml:space="preserve">Semana 92</t>
  </si>
  <si>
    <t xml:space="preserve">Semana 93</t>
  </si>
  <si>
    <t xml:space="preserve">Semana 94</t>
  </si>
  <si>
    <t xml:space="preserve">Semana 95</t>
  </si>
  <si>
    <t xml:space="preserve">Semana 96</t>
  </si>
  <si>
    <t xml:space="preserve">Semana 97</t>
  </si>
  <si>
    <t xml:space="preserve">Semana 98</t>
  </si>
  <si>
    <t xml:space="preserve">Semana 99</t>
  </si>
  <si>
    <t xml:space="preserve">Semana 100</t>
  </si>
  <si>
    <t xml:space="preserve">GERENCIAMENTO DE RISCO (CAPITAL)</t>
  </si>
  <si>
    <t xml:space="preserve">Meta nível:</t>
  </si>
  <si>
    <t xml:space="preserve">Menor $</t>
  </si>
  <si>
    <t xml:space="preserve">Maior $</t>
  </si>
  <si>
    <t xml:space="preserve">Qtd sem.</t>
  </si>
  <si>
    <t xml:space="preserve">Stop Full</t>
  </si>
  <si>
    <t>Meses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</si>
</sst>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_-&quot;R$&quot;\ * #,##0.00_-;\-&quot;R$&quot;\ * #,##0.00_-;_-&quot;R$&quot;\ * &quot;-&quot;??_-;_-@_-"/>
  </numFmts>
  <fonts count="16">
    <font>
      <sz val="11.000000"/>
      <color theme="1"/>
      <name val="Aptos Narrow"/>
      <scheme val="minor"/>
    </font>
    <font>
      <sz val="11.000000"/>
      <color theme="0" tint="-0.049989318521683403"/>
      <name val="Aptos Narrow"/>
      <scheme val="minor"/>
    </font>
    <font>
      <sz val="11.000000"/>
      <color theme="9" tint="0.39997558519241921"/>
      <name val="Aptos Narrow"/>
      <scheme val="minor"/>
    </font>
    <font>
      <b/>
      <sz val="11.000000"/>
      <color theme="4" tint="-0.249977111117893"/>
      <name val="Aptos Narrow"/>
      <scheme val="minor"/>
    </font>
    <font>
      <b/>
      <sz val="11.000000"/>
      <color theme="6"/>
      <name val="Aptos Narrow"/>
      <scheme val="minor"/>
    </font>
    <font>
      <b/>
      <sz val="14.000000"/>
      <color indexed="2"/>
      <name val="Aptos Narrow"/>
      <scheme val="minor"/>
    </font>
    <font>
      <b/>
      <sz val="11.000000"/>
      <color theme="1"/>
      <name val="Aptos Narrow"/>
      <scheme val="minor"/>
    </font>
    <font>
      <sz val="11.000000"/>
      <name val="Aptos Narrow"/>
      <scheme val="minor"/>
    </font>
    <font>
      <sz val="11.000000"/>
      <color rgb="FF7030A0"/>
      <name val="Aptos Narrow"/>
      <scheme val="minor"/>
    </font>
    <font>
      <sz val="11.000000"/>
      <color theme="0"/>
      <name val="Aptos Narrow"/>
      <scheme val="minor"/>
    </font>
    <font>
      <sz val="11.000000"/>
      <color indexed="2"/>
      <name val="Aptos Narrow"/>
      <scheme val="minor"/>
    </font>
    <font>
      <b/>
      <sz val="11.000000"/>
      <color indexed="2"/>
      <name val="Aptos Narrow"/>
      <scheme val="minor"/>
    </font>
    <font>
      <i/>
      <sz val="9.000000"/>
      <color theme="1"/>
      <name val="Aptos Narrow"/>
      <scheme val="minor"/>
    </font>
    <font>
      <b/>
      <sz val="11.000000"/>
      <color rgb="FF7030A0"/>
      <name val="Aptos Narrow"/>
      <scheme val="minor"/>
    </font>
    <font>
      <b/>
      <sz val="11.000000"/>
      <color theme="0" tint="-0.34998626667073579"/>
      <name val="Aptos Narrow"/>
      <scheme val="minor"/>
    </font>
    <font>
      <sz val="11.000000"/>
      <color theme="0" tint="-0.34998626667073579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049989318521683403"/>
      </patternFill>
    </fill>
    <fill>
      <patternFill patternType="solid">
        <fgColor theme="1"/>
      </patternFill>
    </fill>
    <fill>
      <patternFill patternType="solid">
        <fgColor theme="0"/>
      </patternFill>
    </fill>
    <fill>
      <patternFill patternType="solid">
        <fgColor indexed="5"/>
      </patternFill>
    </fill>
    <fill>
      <patternFill patternType="solid">
        <fgColor rgb="FFFFCC66"/>
      </patternFill>
    </fill>
    <fill>
      <patternFill patternType="solid">
        <fgColor theme="9" tint="0.79998168889431442"/>
      </patternFill>
    </fill>
  </fills>
  <borders count="15">
    <border>
      <left style="none"/>
      <right style="none"/>
      <top style="none"/>
      <bottom style="none"/>
      <diagonal style="none"/>
    </border>
    <border>
      <left style="dashed">
        <color theme="6" tint="-0.499984740745262"/>
      </left>
      <right style="none"/>
      <top style="dashed">
        <color theme="6" tint="-0.499984740745262"/>
      </top>
      <bottom style="none"/>
      <diagonal style="none"/>
    </border>
    <border>
      <left style="none"/>
      <right style="none"/>
      <top style="dashed">
        <color theme="6" tint="-0.499984740745262"/>
      </top>
      <bottom style="none"/>
      <diagonal style="none"/>
    </border>
    <border>
      <left style="none"/>
      <right style="dashed">
        <color theme="6" tint="-0.499984740745262"/>
      </right>
      <top style="dashed">
        <color theme="6" tint="-0.499984740745262"/>
      </top>
      <bottom style="none"/>
      <diagonal style="none"/>
    </border>
    <border>
      <left style="dashed">
        <color theme="6" tint="-0.499984740745262"/>
      </left>
      <right style="none"/>
      <top style="none"/>
      <bottom style="none"/>
      <diagonal style="none"/>
    </border>
    <border>
      <left style="none"/>
      <right style="dashed">
        <color theme="6" tint="-0.499984740745262"/>
      </right>
      <top style="none"/>
      <bottom style="none"/>
      <diagonal style="none"/>
    </border>
    <border>
      <left style="dashed">
        <color theme="6" tint="-0.499984740745262"/>
      </left>
      <right style="none"/>
      <top style="none"/>
      <bottom style="dashed">
        <color theme="6" tint="-0.499984740745262"/>
      </bottom>
      <diagonal style="none"/>
    </border>
    <border>
      <left style="none"/>
      <right style="none"/>
      <top style="none"/>
      <bottom style="dashed">
        <color theme="6" tint="-0.499984740745262"/>
      </bottom>
      <diagonal style="none"/>
    </border>
    <border>
      <left style="none"/>
      <right style="dashed">
        <color theme="6" tint="-0.499984740745262"/>
      </right>
      <top style="none"/>
      <bottom style="dashed">
        <color theme="6" tint="-0.499984740745262"/>
      </bottom>
      <diagonal style="none"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 style="none"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 style="none"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 style="none"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 style="none"/>
    </border>
    <border>
      <left style="thin">
        <color theme="0" tint="-0.34998626667073579"/>
      </left>
      <right style="thin">
        <color theme="0" tint="-0.34998626667073579"/>
      </right>
      <top style="none"/>
      <bottom style="thin">
        <color theme="0" tint="-0.34998626667073579"/>
      </bottom>
      <diagonal style="none"/>
    </border>
    <border>
      <left style="none"/>
      <right style="none"/>
      <top style="thin">
        <color theme="0" tint="-0.34998626667073579"/>
      </top>
      <bottom style="none"/>
      <diagonal style="none"/>
    </border>
  </borders>
  <cellStyleXfs count="3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0" fillId="0" borderId="0" numFmtId="9" applyNumberFormat="1" applyFont="0" applyFill="0" applyBorder="0" applyProtection="0"/>
  </cellStyleXfs>
  <cellXfs count="77">
    <xf fontId="0" fillId="0" borderId="0" numFmtId="0" xfId="0"/>
    <xf fontId="0" fillId="2" borderId="0" numFmtId="0" xfId="0" applyFill="1"/>
    <xf fontId="1" fillId="2" borderId="0" numFmtId="0" xfId="0" applyFont="1" applyFill="1"/>
    <xf fontId="2" fillId="2" borderId="0" numFmtId="0" xfId="0" applyFont="1" applyFill="1"/>
    <xf fontId="0" fillId="3" borderId="0" numFmtId="0" xfId="0" applyFill="1"/>
    <xf fontId="1" fillId="2" borderId="0" numFmtId="0" xfId="0" applyFont="1" applyFill="1" applyProtection="1">
      <protection locked="0"/>
    </xf>
    <xf fontId="3" fillId="4" borderId="0" numFmtId="0" xfId="0" applyFont="1" applyFill="1" applyAlignment="1">
      <alignment horizontal="left"/>
    </xf>
    <xf fontId="0" fillId="5" borderId="0" numFmtId="164" xfId="1" applyNumberFormat="1" applyFill="1" applyProtection="1">
      <protection locked="0"/>
    </xf>
    <xf fontId="4" fillId="2" borderId="1" numFmtId="0" xfId="0" applyFont="1" applyFill="1" applyBorder="1"/>
    <xf fontId="4" fillId="2" borderId="2" numFmtId="0" xfId="0" applyFont="1" applyFill="1" applyBorder="1"/>
    <xf fontId="0" fillId="2" borderId="3" numFmtId="0" xfId="0" applyFill="1" applyBorder="1"/>
    <xf fontId="3" fillId="2" borderId="0" numFmtId="0" xfId="0" applyFont="1" applyFill="1" applyAlignment="1">
      <alignment horizontal="left"/>
    </xf>
    <xf fontId="0" fillId="2" borderId="0" numFmtId="164" xfId="1" applyNumberFormat="1" applyFill="1" applyProtection="1"/>
    <xf fontId="4" fillId="2" borderId="4" numFmtId="0" xfId="0" applyFont="1" applyFill="1" applyBorder="1"/>
    <xf fontId="4" fillId="2" borderId="0" numFmtId="0" xfId="0" applyFont="1" applyFill="1"/>
    <xf fontId="0" fillId="2" borderId="5" numFmtId="0" xfId="0" applyFill="1" applyBorder="1"/>
    <xf fontId="0" fillId="5" borderId="0" numFmtId="0" xfId="2" applyFill="1" applyAlignment="1" applyProtection="1">
      <alignment horizontal="left"/>
      <protection locked="0"/>
    </xf>
    <xf fontId="5" fillId="2" borderId="4" numFmtId="0" xfId="0" applyFont="1" applyFill="1" applyBorder="1"/>
    <xf fontId="4" fillId="2" borderId="0" numFmtId="0" xfId="0" applyFont="1" applyFill="1" applyAlignment="1">
      <alignment horizontal="left"/>
    </xf>
    <xf fontId="4" fillId="2" borderId="5" numFmtId="0" xfId="0" applyFont="1" applyFill="1" applyBorder="1" applyAlignment="1">
      <alignment horizontal="left"/>
    </xf>
    <xf fontId="0" fillId="2" borderId="0" numFmtId="0" xfId="2" applyFill="1" applyAlignment="1" applyProtection="1">
      <alignment horizontal="left"/>
    </xf>
    <xf fontId="5" fillId="2" borderId="4" numFmtId="0" xfId="0" applyFont="1" applyFill="1" applyBorder="1" applyAlignment="1">
      <alignment vertical="center"/>
    </xf>
    <xf fontId="5" fillId="2" borderId="0" numFmtId="0" xfId="0" applyFont="1" applyFill="1" applyAlignment="1">
      <alignment vertical="center"/>
    </xf>
    <xf fontId="5" fillId="2" borderId="5" numFmtId="0" xfId="0" applyFont="1" applyFill="1" applyBorder="1" applyAlignment="1">
      <alignment vertical="center"/>
    </xf>
    <xf fontId="0" fillId="5" borderId="0" numFmtId="0" xfId="0" applyFill="1" applyAlignment="1" applyProtection="1">
      <alignment horizontal="left"/>
      <protection locked="0"/>
    </xf>
    <xf fontId="1" fillId="2" borderId="0" numFmtId="0" xfId="0" applyFont="1" applyFill="1" applyAlignment="1">
      <alignment horizontal="left"/>
    </xf>
    <xf fontId="0" fillId="2" borderId="0" numFmtId="0" xfId="0" applyFill="1" applyAlignment="1">
      <alignment horizontal="left"/>
    </xf>
    <xf fontId="0" fillId="2" borderId="6" numFmtId="0" xfId="0" applyFill="1" applyBorder="1"/>
    <xf fontId="0" fillId="2" borderId="7" numFmtId="0" xfId="0" applyFill="1" applyBorder="1"/>
    <xf fontId="0" fillId="2" borderId="8" numFmtId="0" xfId="0" applyFill="1" applyBorder="1"/>
    <xf fontId="0" fillId="2" borderId="0" numFmtId="164" xfId="0" applyNumberFormat="1" applyFill="1"/>
    <xf fontId="6" fillId="2" borderId="0" numFmtId="0" xfId="0" applyFont="1" applyFill="1" applyAlignment="1">
      <alignment vertical="top"/>
    </xf>
    <xf fontId="0" fillId="2" borderId="0" numFmtId="0" xfId="0" applyFill="1" applyAlignment="1">
      <alignment horizontal="center"/>
    </xf>
    <xf fontId="0" fillId="2" borderId="0" numFmtId="164" xfId="1" applyNumberFormat="1" applyFill="1" applyAlignment="1" applyProtection="1">
      <alignment horizontal="center"/>
    </xf>
    <xf fontId="0" fillId="2" borderId="0" numFmtId="0" xfId="0" applyFill="1" applyAlignment="1">
      <alignment horizontal="right"/>
    </xf>
    <xf fontId="7" fillId="2" borderId="0" numFmtId="0" xfId="0" applyFont="1" applyFill="1" applyAlignment="1">
      <alignment vertical="top"/>
    </xf>
    <xf fontId="7" fillId="2" borderId="0" numFmtId="164" xfId="1" applyNumberFormat="1" applyFont="1" applyFill="1" applyAlignment="1" applyProtection="1">
      <alignment horizontal="center" vertical="top"/>
    </xf>
    <xf fontId="8" fillId="2" borderId="0" numFmtId="10" xfId="2" applyNumberFormat="1" applyFont="1" applyFill="1" applyAlignment="1">
      <alignment horizontal="left" vertical="center"/>
    </xf>
    <xf fontId="8" fillId="2" borderId="0" numFmtId="0" xfId="0" applyFont="1" applyFill="1" applyAlignment="1">
      <alignment vertical="center"/>
    </xf>
    <xf fontId="6" fillId="2" borderId="9" numFmtId="0" xfId="0" applyFont="1" applyFill="1" applyBorder="1" applyAlignment="1">
      <alignment horizontal="center" vertical="center"/>
    </xf>
    <xf fontId="6" fillId="2" borderId="10" numFmtId="0" xfId="0" applyFont="1" applyFill="1" applyBorder="1" applyAlignment="1">
      <alignment horizontal="center" vertical="center"/>
    </xf>
    <xf fontId="6" fillId="6" borderId="11" numFmtId="0" xfId="0" applyFont="1" applyFill="1" applyBorder="1" applyAlignment="1">
      <alignment horizontal="center" vertical="center"/>
    </xf>
    <xf fontId="0" fillId="2" borderId="0" numFmtId="0" xfId="0" applyFill="1" applyAlignment="1">
      <alignment horizontal="left" vertical="center" wrapText="1"/>
    </xf>
    <xf fontId="9" fillId="2" borderId="0" numFmtId="0" xfId="0" applyFont="1" applyFill="1" applyAlignment="1">
      <alignment horizontal="center" vertical="center" wrapText="1"/>
    </xf>
    <xf fontId="1" fillId="2" borderId="0" numFmtId="0" xfId="0" applyFont="1" applyFill="1" applyAlignment="1">
      <alignment vertical="center"/>
    </xf>
    <xf fontId="0" fillId="2" borderId="12" numFmtId="0" xfId="0" applyFill="1" applyBorder="1"/>
    <xf fontId="0" fillId="2" borderId="12" numFmtId="164" xfId="1" applyNumberFormat="1" applyFill="1" applyBorder="1" applyAlignment="1" applyProtection="1">
      <alignment horizontal="center"/>
    </xf>
    <xf fontId="0" fillId="2" borderId="13" numFmtId="164" xfId="1" applyNumberFormat="1" applyFill="1" applyBorder="1" applyAlignment="1" applyProtection="1">
      <alignment horizontal="center"/>
    </xf>
    <xf fontId="10" fillId="2" borderId="13" numFmtId="164" xfId="1" applyNumberFormat="1" applyFont="1" applyFill="1" applyBorder="1" applyAlignment="1" applyProtection="1">
      <alignment horizontal="center"/>
    </xf>
    <xf fontId="0" fillId="7" borderId="13" numFmtId="164" xfId="1" applyNumberFormat="1" applyFill="1" applyBorder="1" applyAlignment="1" applyProtection="1">
      <alignment horizontal="center"/>
    </xf>
    <xf fontId="0" fillId="2" borderId="0" numFmtId="10" xfId="2" applyNumberFormat="1" applyFill="1" applyAlignment="1" applyProtection="1">
      <alignment horizontal="left"/>
    </xf>
    <xf fontId="11" fillId="2" borderId="0" numFmtId="9" xfId="2" applyNumberFormat="1" applyFont="1" applyFill="1" applyAlignment="1">
      <alignment horizontal="left"/>
    </xf>
    <xf fontId="0" fillId="2" borderId="14" numFmtId="164" xfId="1" applyNumberFormat="1" applyFill="1" applyBorder="1" applyAlignment="1" applyProtection="1">
      <alignment horizontal="center"/>
    </xf>
    <xf fontId="0" fillId="4" borderId="0" numFmtId="0" xfId="0" applyFill="1"/>
    <xf fontId="7" fillId="4" borderId="0" numFmtId="0" xfId="0" applyFont="1" applyFill="1"/>
    <xf fontId="0" fillId="4" borderId="0" numFmtId="0" xfId="0" applyFill="1" applyAlignment="1">
      <alignment horizontal="center"/>
    </xf>
    <xf fontId="6" fillId="4" borderId="0" numFmtId="0" xfId="0" applyFont="1" applyFill="1" applyAlignment="1">
      <alignment vertical="top"/>
    </xf>
    <xf fontId="0" fillId="5" borderId="0" numFmtId="164" xfId="1" applyNumberFormat="1" applyFill="1" applyAlignment="1" applyProtection="1">
      <alignment horizontal="center"/>
      <protection locked="0"/>
    </xf>
    <xf fontId="0" fillId="4" borderId="0" numFmtId="0" xfId="0" applyFill="1" applyAlignment="1">
      <alignment horizontal="right"/>
    </xf>
    <xf fontId="0" fillId="4" borderId="0" numFmtId="164" xfId="1" applyNumberFormat="1" applyFill="1" applyProtection="1">
      <protection locked="0"/>
    </xf>
    <xf fontId="0" fillId="4" borderId="0" numFmtId="164" xfId="1" applyNumberFormat="1" applyFill="1" applyProtection="1"/>
    <xf fontId="12" fillId="4" borderId="0" numFmtId="0" xfId="0" applyFont="1" applyFill="1" applyAlignment="1">
      <alignment horizontal="left"/>
    </xf>
    <xf fontId="13" fillId="4" borderId="0" numFmtId="0" xfId="0" applyFont="1" applyFill="1" applyAlignment="1">
      <alignment vertical="center"/>
    </xf>
    <xf fontId="13" fillId="4" borderId="0" numFmtId="164" xfId="1" applyNumberFormat="1" applyFont="1" applyFill="1" applyAlignment="1" applyProtection="1">
      <alignment horizontal="center" vertical="center"/>
    </xf>
    <xf fontId="8" fillId="4" borderId="0" numFmtId="10" xfId="2" applyNumberFormat="1" applyFont="1" applyFill="1" applyAlignment="1" applyProtection="1">
      <alignment horizontal="left" vertical="center"/>
    </xf>
    <xf fontId="8" fillId="4" borderId="0" numFmtId="0" xfId="0" applyFont="1" applyFill="1" applyAlignment="1">
      <alignment vertical="center"/>
    </xf>
    <xf fontId="0" fillId="4" borderId="0" numFmtId="0" xfId="0" applyFill="1" applyAlignment="1">
      <alignment horizontal="left"/>
    </xf>
    <xf fontId="6" fillId="6" borderId="9" numFmtId="0" xfId="0" applyFont="1" applyFill="1" applyBorder="1" applyAlignment="1">
      <alignment horizontal="center"/>
    </xf>
    <xf fontId="6" fillId="6" borderId="10" numFmtId="0" xfId="0" applyFont="1" applyFill="1" applyBorder="1" applyAlignment="1">
      <alignment horizontal="center"/>
    </xf>
    <xf fontId="6" fillId="6" borderId="11" numFmtId="0" xfId="0" applyFont="1" applyFill="1" applyBorder="1" applyAlignment="1">
      <alignment horizontal="center"/>
    </xf>
    <xf fontId="14" fillId="4" borderId="0" numFmtId="0" xfId="0" applyFont="1" applyFill="1" applyAlignment="1">
      <alignment horizontal="center"/>
    </xf>
    <xf fontId="0" fillId="4" borderId="0" numFmtId="1" xfId="0" applyNumberFormat="1" applyFill="1" applyAlignment="1">
      <alignment horizontal="left"/>
    </xf>
    <xf fontId="0" fillId="4" borderId="12" numFmtId="0" xfId="0" applyFill="1" applyBorder="1"/>
    <xf fontId="0" fillId="4" borderId="13" numFmtId="164" xfId="1" applyNumberFormat="1" applyFill="1" applyBorder="1" applyAlignment="1" applyProtection="1">
      <alignment horizontal="center"/>
      <protection locked="0"/>
    </xf>
    <xf fontId="15" fillId="4" borderId="0" numFmtId="10" xfId="2" applyNumberFormat="1" applyFont="1" applyFill="1" applyAlignment="1" applyProtection="1">
      <alignment horizontal="center"/>
    </xf>
    <xf fontId="0" fillId="4" borderId="12" numFmtId="164" xfId="1" applyNumberFormat="1" applyFill="1" applyBorder="1" applyAlignment="1" applyProtection="1">
      <alignment horizontal="center"/>
      <protection locked="0"/>
    </xf>
    <xf fontId="0" fillId="5" borderId="0" numFmtId="0" xfId="0" applyFill="1" applyAlignment="1" applyProtection="1">
      <alignment horizontal="left"/>
      <protection locked="0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476250</xdr:colOff>
      <xdr:row>0</xdr:row>
      <xdr:rowOff>0</xdr:rowOff>
    </xdr:from>
    <xdr:to>
      <xdr:col>6</xdr:col>
      <xdr:colOff>704849</xdr:colOff>
      <xdr:row>6</xdr:row>
      <xdr:rowOff>60967</xdr:rowOff>
    </xdr:to>
    <xdr:pic>
      <xdr:nvPicPr>
        <xdr:cNvPr id="2" name="Imagem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476375" y="0"/>
          <a:ext cx="4772025" cy="1203967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0</xdr:colOff>
      <xdr:row>7</xdr:row>
      <xdr:rowOff>114300</xdr:rowOff>
    </xdr:from>
    <xdr:to>
      <xdr:col>14</xdr:col>
      <xdr:colOff>38100</xdr:colOff>
      <xdr:row>22</xdr:row>
      <xdr:rowOff>123824</xdr:rowOff>
    </xdr:to>
    <xdr:pic>
      <xdr:nvPicPr>
        <xdr:cNvPr id="3" name="Imagem 2"/>
        <xdr:cNvPicPr>
          <a:picLocks noChangeAspect="1" noChangeArrowheads="1"/>
        </xdr:cNvPicPr>
      </xdr:nvPicPr>
      <xdr:blipFill>
        <a:blip r:embed="rId2"/>
        <a:stretch/>
      </xdr:blipFill>
      <xdr:spPr bwMode="auto">
        <a:xfrm>
          <a:off x="12677775" y="1447800"/>
          <a:ext cx="2428875" cy="253365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3</xdr:col>
      <xdr:colOff>514350</xdr:colOff>
      <xdr:row>0</xdr:row>
      <xdr:rowOff>0</xdr:rowOff>
    </xdr:from>
    <xdr:to>
      <xdr:col>6</xdr:col>
      <xdr:colOff>638175</xdr:colOff>
      <xdr:row>4</xdr:row>
      <xdr:rowOff>187235</xdr:rowOff>
    </xdr:to>
    <xdr:pic>
      <xdr:nvPicPr>
        <xdr:cNvPr id="3" name="Imagem 2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2209800" y="0"/>
          <a:ext cx="3762375" cy="94923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3</xdr:col>
      <xdr:colOff>514350</xdr:colOff>
      <xdr:row>0</xdr:row>
      <xdr:rowOff>0</xdr:rowOff>
    </xdr:from>
    <xdr:to>
      <xdr:col>6</xdr:col>
      <xdr:colOff>828675</xdr:colOff>
      <xdr:row>4</xdr:row>
      <xdr:rowOff>187235</xdr:rowOff>
    </xdr:to>
    <xdr:pic>
      <xdr:nvPicPr>
        <xdr:cNvPr id="2" name="Imagem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2209800" y="0"/>
          <a:ext cx="3762375" cy="949235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6" activeCellId="0" sqref="E16"/>
    </sheetView>
  </sheetViews>
  <sheetFormatPr defaultRowHeight="14.25"/>
  <cols>
    <col customWidth="1" min="1" max="1" style="1" width="5.7109375"/>
    <col customWidth="1" min="2" max="2" style="1" width="9.28515625"/>
    <col customWidth="1" min="3" max="3" style="1" width="11.85546875"/>
    <col customWidth="1" min="4" max="4" style="1" width="26"/>
    <col customWidth="1" min="5" max="5" style="1" width="14.28515625"/>
    <col customWidth="1" min="6" max="6" style="1" width="16"/>
    <col customWidth="1" min="7" max="7" style="1" width="19.5703125"/>
    <col customWidth="1" min="8" max="8" width="14"/>
    <col customWidth="1" min="9" max="9" style="1" width="22.85546875"/>
    <col customWidth="1" min="10" max="10" style="1" width="41.42578125"/>
    <col min="11" max="12" style="2" width="9.140625"/>
    <col bestFit="1" customWidth="1" min="13" max="13" style="2" width="17.5703125"/>
    <col min="14" max="16" style="2" width="9.140625"/>
    <col min="17" max="18" style="3" width="9.140625"/>
    <col min="19" max="182" style="1" width="9.140625"/>
  </cols>
  <sheetData>
    <row r="1" s="4" customFormat="1">
      <c r="K1" s="2"/>
      <c r="L1" s="2"/>
      <c r="M1" s="2"/>
      <c r="N1" s="2"/>
      <c r="O1" s="2"/>
      <c r="P1" s="2"/>
      <c r="Q1" s="3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</row>
    <row r="2" s="4" customFormat="1">
      <c r="K2" s="2"/>
      <c r="L2" s="2"/>
      <c r="M2" s="2"/>
      <c r="N2" s="2"/>
      <c r="O2" s="2"/>
      <c r="P2" s="2"/>
      <c r="Q2" s="3"/>
      <c r="R2" s="3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</row>
    <row r="3" s="4" customFormat="1">
      <c r="K3" s="2"/>
      <c r="L3" s="2"/>
      <c r="M3" s="2"/>
      <c r="N3" s="2"/>
      <c r="O3" s="2"/>
      <c r="P3" s="2"/>
      <c r="Q3" s="3"/>
      <c r="R3" s="3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</row>
    <row r="4" s="4" customFormat="1">
      <c r="K4" s="2"/>
      <c r="L4" s="2"/>
      <c r="M4" s="2"/>
      <c r="N4" s="2"/>
      <c r="O4" s="2"/>
      <c r="P4" s="2"/>
      <c r="Q4" s="3"/>
      <c r="R4" s="3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</row>
    <row r="5" s="4" customFormat="1">
      <c r="K5" s="2"/>
      <c r="L5" s="2"/>
      <c r="M5" s="2"/>
      <c r="N5" s="2"/>
      <c r="O5" s="2"/>
      <c r="P5" s="2"/>
      <c r="Q5" s="3"/>
      <c r="R5" s="3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</row>
    <row r="6" s="4" customFormat="1">
      <c r="K6" s="2"/>
      <c r="L6" s="2"/>
      <c r="M6" s="2"/>
      <c r="N6" s="2"/>
      <c r="O6" s="2"/>
      <c r="P6" s="2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</row>
    <row r="7" s="4" customFormat="1">
      <c r="K7" s="2"/>
      <c r="L7" s="2"/>
      <c r="M7" s="2"/>
      <c r="N7" s="2"/>
      <c r="O7" s="2"/>
      <c r="P7" s="2"/>
      <c r="Q7" s="3"/>
      <c r="R7" s="3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</row>
    <row r="8">
      <c r="H8" s="1"/>
    </row>
    <row r="9">
      <c r="E9" s="5" t="s">
        <v>0</v>
      </c>
      <c r="H9" s="1"/>
    </row>
    <row r="10" s="1" customFormat="1">
      <c r="B10" s="6" t="s">
        <v>1</v>
      </c>
      <c r="C10" s="6"/>
      <c r="D10" s="6"/>
      <c r="E10" s="7">
        <v>20000</v>
      </c>
      <c r="G10" s="8" t="str">
        <f>IF(E22&lt;&gt;"","SEU CAPITAL COM ESSA DEFINIÇÃO DE RISCO VAI AGUENTAR:","")</f>
        <v xml:space="preserve">SEU CAPITAL COM ESSA DEFINIÇÃO DE RISCO VAI AGUENTAR:</v>
      </c>
      <c r="H10" s="9"/>
      <c r="I10" s="10"/>
      <c r="K10" s="2"/>
      <c r="L10" s="2"/>
      <c r="M10" s="2"/>
      <c r="N10" s="2"/>
      <c r="O10" s="2"/>
      <c r="P10" s="2"/>
      <c r="Q10" s="3"/>
      <c r="R10" s="3"/>
    </row>
    <row r="11" s="1" customFormat="1" ht="4.5" customHeight="1">
      <c r="B11" s="11"/>
      <c r="C11" s="11"/>
      <c r="D11" s="11"/>
      <c r="E11" s="12"/>
      <c r="G11" s="13"/>
      <c r="H11" s="14"/>
      <c r="I11" s="15"/>
      <c r="K11" s="2"/>
      <c r="L11" s="2"/>
      <c r="M11" s="2"/>
      <c r="N11" s="2"/>
      <c r="O11" s="2"/>
      <c r="P11" s="2"/>
      <c r="Q11" s="3"/>
      <c r="R11" s="3"/>
    </row>
    <row r="12" s="1" customFormat="1" ht="16.5">
      <c r="B12" s="6" t="s">
        <v>2</v>
      </c>
      <c r="C12" s="6"/>
      <c r="D12" s="6"/>
      <c r="E12" s="16">
        <v>1.5</v>
      </c>
      <c r="G12" s="17">
        <f>IFERROR(IF(E22&lt;&gt;"",COUNT(D24:D123),""),)</f>
        <v>11</v>
      </c>
      <c r="H12" s="18" t="str">
        <f>IF(E22&lt;&gt;"","SEMANAS DE STOP SEGUIDOS + OU -","")</f>
        <v xml:space="preserve">SEMANAS DE STOP SEGUIDOS + OU -</v>
      </c>
      <c r="I12" s="19"/>
      <c r="K12" s="2"/>
      <c r="L12" s="2"/>
      <c r="M12" s="2"/>
      <c r="N12" s="2"/>
      <c r="O12" s="2"/>
      <c r="P12" s="2"/>
      <c r="Q12" s="3"/>
      <c r="R12" s="3"/>
    </row>
    <row r="13" s="1" customFormat="1" ht="4.5" customHeight="1">
      <c r="B13" s="11"/>
      <c r="C13" s="11"/>
      <c r="D13" s="11"/>
      <c r="E13" s="20"/>
      <c r="G13" s="21"/>
      <c r="H13" s="22"/>
      <c r="I13" s="23"/>
      <c r="K13" s="2"/>
      <c r="L13" s="2"/>
      <c r="M13" s="2"/>
      <c r="N13" s="2"/>
      <c r="O13" s="2"/>
      <c r="P13" s="2"/>
      <c r="Q13" s="3"/>
      <c r="R13" s="3"/>
    </row>
    <row r="14" s="1" customFormat="1" ht="15" customHeight="1">
      <c r="B14" s="6" t="s">
        <v>3</v>
      </c>
      <c r="C14" s="6"/>
      <c r="D14" s="6"/>
      <c r="E14" s="24">
        <v>3</v>
      </c>
      <c r="F14" s="25">
        <f>E14/E12</f>
        <v>2</v>
      </c>
      <c r="G14" s="21">
        <f>IFERROR(IF(E22&lt;&gt;"",ROUND(SUM(O24:O191),0),""),)</f>
        <v>109</v>
      </c>
      <c r="H14" s="18" t="str">
        <f>IF(E22&lt;&gt;"","TRADES STOP SEGUIDOS","")</f>
        <v xml:space="preserve">TRADES STOP SEGUIDOS</v>
      </c>
      <c r="I14" s="19"/>
      <c r="K14" s="2"/>
      <c r="L14" s="2"/>
      <c r="M14" s="2"/>
      <c r="N14" s="2"/>
      <c r="O14" s="2"/>
      <c r="P14" s="2"/>
      <c r="Q14" s="3"/>
      <c r="R14" s="3"/>
    </row>
    <row r="15" s="1" customFormat="1" ht="5.25" customHeight="1">
      <c r="B15" s="11"/>
      <c r="C15" s="11"/>
      <c r="D15" s="11"/>
      <c r="E15" s="26"/>
      <c r="G15" s="27"/>
      <c r="H15" s="28"/>
      <c r="I15" s="29"/>
      <c r="K15" s="2"/>
      <c r="L15" s="2"/>
      <c r="M15" s="2"/>
      <c r="N15" s="2"/>
      <c r="O15" s="2"/>
      <c r="P15" s="2"/>
      <c r="Q15" s="3"/>
      <c r="R15" s="3"/>
    </row>
    <row r="16" s="1" customFormat="1">
      <c r="B16" s="6" t="s">
        <v>4</v>
      </c>
      <c r="C16" s="6"/>
      <c r="D16" s="6"/>
      <c r="E16" s="7">
        <v>150</v>
      </c>
      <c r="K16" s="2"/>
      <c r="L16" s="2"/>
      <c r="M16" s="2"/>
      <c r="N16" s="2"/>
      <c r="O16" s="2"/>
      <c r="P16" s="2"/>
      <c r="Q16" s="3"/>
      <c r="R16" s="3"/>
    </row>
    <row r="17" s="1" customFormat="1">
      <c r="B17" s="6" t="s">
        <v>5</v>
      </c>
      <c r="C17" s="6"/>
      <c r="D17" s="6"/>
      <c r="E17" s="5"/>
      <c r="H17" s="30"/>
      <c r="K17" s="2"/>
      <c r="L17" s="2"/>
      <c r="M17" s="2"/>
      <c r="N17" s="2"/>
      <c r="O17" s="2"/>
      <c r="P17" s="2"/>
      <c r="Q17" s="3"/>
      <c r="R17" s="3"/>
    </row>
    <row r="18" s="1" customFormat="1">
      <c r="H18" s="26"/>
      <c r="K18" s="2"/>
      <c r="L18" s="2"/>
      <c r="M18" s="2"/>
      <c r="N18" s="2"/>
      <c r="O18" s="2"/>
      <c r="P18" s="2"/>
      <c r="Q18" s="3"/>
      <c r="R18" s="3"/>
    </row>
    <row r="19" s="1" customFormat="1">
      <c r="D19" s="31" t="s">
        <v>6</v>
      </c>
      <c r="E19" s="32"/>
      <c r="K19" s="2"/>
      <c r="L19" s="2"/>
      <c r="M19" s="2"/>
      <c r="N19" s="2"/>
      <c r="O19" s="2"/>
      <c r="P19" s="2"/>
      <c r="Q19" s="3"/>
      <c r="R19" s="3"/>
    </row>
    <row r="20" s="1" customFormat="1">
      <c r="D20" s="1" t="s">
        <v>7</v>
      </c>
      <c r="E20" s="33">
        <f>IF(E10&lt;&gt;"",E10,"")</f>
        <v>20000</v>
      </c>
      <c r="F20" s="34"/>
      <c r="G20" s="12"/>
      <c r="K20" s="2"/>
      <c r="L20" s="2"/>
      <c r="M20" s="2"/>
      <c r="N20" s="2"/>
      <c r="O20" s="2"/>
      <c r="P20" s="2"/>
      <c r="Q20" s="3"/>
      <c r="R20" s="3"/>
    </row>
    <row r="21" s="1" customFormat="1">
      <c r="D21" s="1" t="s">
        <v>8</v>
      </c>
      <c r="E21" s="26">
        <f>IF(E12&lt;&gt;"",E12,"")</f>
        <v>1.5</v>
      </c>
      <c r="F21" s="34" t="s">
        <v>9</v>
      </c>
      <c r="G21" s="26">
        <f>IF(E14&lt;&gt;"",E14,"")</f>
        <v>3</v>
      </c>
      <c r="K21" s="2"/>
      <c r="L21" s="2"/>
      <c r="M21" s="2"/>
      <c r="N21" s="2"/>
      <c r="O21" s="2"/>
      <c r="P21" s="2"/>
      <c r="Q21" s="3"/>
      <c r="R21" s="3"/>
    </row>
    <row r="22" s="1" customFormat="1" ht="15.75">
      <c r="D22" s="35" t="s">
        <v>10</v>
      </c>
      <c r="E22" s="36">
        <f>IF(E16&lt;&gt;"",E16,"")</f>
        <v>150</v>
      </c>
      <c r="F22" s="37"/>
      <c r="G22" s="38"/>
      <c r="H22" s="37"/>
      <c r="K22" s="2"/>
      <c r="L22" s="2"/>
      <c r="M22" s="2"/>
      <c r="N22" s="2"/>
      <c r="O22" s="2"/>
      <c r="P22" s="2"/>
      <c r="Q22" s="3"/>
      <c r="R22" s="3"/>
    </row>
    <row r="23" ht="41.25" customHeight="1">
      <c r="D23" s="39" t="s">
        <v>11</v>
      </c>
      <c r="E23" s="40" t="s">
        <v>12</v>
      </c>
      <c r="F23" s="40" t="s">
        <v>13</v>
      </c>
      <c r="G23" s="40" t="s">
        <v>14</v>
      </c>
      <c r="H23" s="41" t="s">
        <v>15</v>
      </c>
      <c r="I23" s="42" t="s">
        <v>16</v>
      </c>
      <c r="J23" s="43"/>
      <c r="K23" s="44"/>
      <c r="O23" s="2" t="s">
        <v>17</v>
      </c>
    </row>
    <row r="24">
      <c r="A24" s="2">
        <v>1</v>
      </c>
      <c r="C24" s="45" t="str">
        <f>IFERROR(IF(K24=1,"","Semana 1"),"")</f>
        <v xml:space="preserve">Semana 1</v>
      </c>
      <c r="D24" s="46">
        <f>IF(E20&lt;&gt;"",$E$20,"")</f>
        <v>20000</v>
      </c>
      <c r="E24" s="47">
        <f t="shared" ref="E24:E87" si="0">IFERROR(IF(D24&lt;&gt;"",IF(ROUND(D24/100*$E$21,0)&lt;$E$16,$E$16,ROUND(D24/100*$E$21,0)),""),"")</f>
        <v>300</v>
      </c>
      <c r="F24" s="47">
        <f t="shared" ref="F24:F87" si="1">IFERROR(IF(D24&lt;&gt;"",IF(ROUND(D24/100*$G$21,0)&lt;($E$16*$F$14),$E$16*$F$14,ROUND(D24/100*$G$21,0)),""),"")</f>
        <v>600</v>
      </c>
      <c r="G24" s="48">
        <f t="shared" ref="G24:G87" si="2">IFERROR(IF(F24&lt;&gt;"",F24*5,""),"")</f>
        <v>3000</v>
      </c>
      <c r="H24" s="49">
        <f t="shared" ref="H24:H87" si="3">IFERROR(IF(D24&lt;&gt;"",D24-G24,""),"")</f>
        <v>17000</v>
      </c>
      <c r="I24" s="50">
        <f t="shared" ref="I24:I87" si="4">IF(H24&lt;&gt;"",100%-H24/$E$20,"")</f>
        <v>0.15000000000000002</v>
      </c>
      <c r="J24" s="51" t="str">
        <f>IFERROR(IF(L24=1,"",IF(M24=1,"&lt;&lt; AQUI VOCÊ PARA POR FALTA DE CAPITAL","")),"")</f>
        <v/>
      </c>
      <c r="K24" s="2" t="str">
        <f>IFERROR(IF(M24=1,1,IF(E24&lt;=$E$22,IF(E24*5&lt;=H24,"",1),"")),"")</f>
        <v/>
      </c>
      <c r="L24" s="2" t="str">
        <f t="shared" ref="L24:L87" si="5">IF(K23=1,1,"")</f>
        <v/>
      </c>
      <c r="M24" s="2">
        <f>IFERROR(IF(H24&lt;=0,1,0),"")</f>
        <v>0</v>
      </c>
      <c r="O24" s="2">
        <f t="shared" ref="O24:O87" si="6">IF(E24&lt;&gt;"",IF(G24&gt;D24,D24/E24,G24/E24),"")</f>
        <v>10</v>
      </c>
    </row>
    <row r="25">
      <c r="A25" s="2">
        <v>2</v>
      </c>
      <c r="C25" s="45" t="str">
        <f t="shared" ref="C25:C88" si="7">IFERROR(IF(K24=1,"",CONCATENATE("Semana"," ",A25)),"")</f>
        <v xml:space="preserve">Semana 2</v>
      </c>
      <c r="D25" s="46">
        <f t="shared" ref="D25:D88" si="8">IFERROR(IF(K24=1,"",H24),"")</f>
        <v>17000</v>
      </c>
      <c r="E25" s="47">
        <f t="shared" si="0"/>
        <v>255</v>
      </c>
      <c r="F25" s="47">
        <f t="shared" si="1"/>
        <v>510</v>
      </c>
      <c r="G25" s="48">
        <f t="shared" si="2"/>
        <v>2550</v>
      </c>
      <c r="H25" s="49">
        <f t="shared" si="3"/>
        <v>14450</v>
      </c>
      <c r="I25" s="50">
        <f t="shared" si="4"/>
        <v>0.27749999999999997</v>
      </c>
      <c r="J25" s="51" t="str">
        <f t="shared" ref="J25:J88" si="9">IFERROR(IF(L25=1,"",IF(K25=1,"&lt;&lt; AQUI VOCÊ PARA POR FALTA DE CAPITAL","")),"")</f>
        <v/>
      </c>
      <c r="K25" s="2" t="str">
        <f t="shared" ref="K25:K88" si="10">IFERROR(IF(K24=1,1,IF(E25&lt;=$E$22,IF(E25*5&lt;=H25,"",1),"")),"")</f>
        <v/>
      </c>
      <c r="L25" s="2" t="str">
        <f t="shared" si="5"/>
        <v/>
      </c>
      <c r="O25" s="2">
        <f t="shared" si="6"/>
        <v>10</v>
      </c>
    </row>
    <row r="26">
      <c r="A26" s="2">
        <v>3</v>
      </c>
      <c r="C26" s="45" t="str">
        <f t="shared" si="7"/>
        <v xml:space="preserve">Semana 3</v>
      </c>
      <c r="D26" s="46">
        <f t="shared" si="8"/>
        <v>14450</v>
      </c>
      <c r="E26" s="47">
        <f t="shared" si="0"/>
        <v>217</v>
      </c>
      <c r="F26" s="47">
        <f t="shared" si="1"/>
        <v>434</v>
      </c>
      <c r="G26" s="48">
        <f t="shared" si="2"/>
        <v>2170</v>
      </c>
      <c r="H26" s="49">
        <f t="shared" si="3"/>
        <v>12280</v>
      </c>
      <c r="I26" s="50">
        <f t="shared" si="4"/>
        <v>0.38600000000000001</v>
      </c>
      <c r="J26" s="51" t="str">
        <f t="shared" si="9"/>
        <v/>
      </c>
      <c r="K26" s="2" t="str">
        <f t="shared" si="10"/>
        <v/>
      </c>
      <c r="L26" s="2" t="str">
        <f t="shared" si="5"/>
        <v/>
      </c>
      <c r="O26" s="2">
        <f t="shared" si="6"/>
        <v>10</v>
      </c>
    </row>
    <row r="27">
      <c r="A27" s="2">
        <v>4</v>
      </c>
      <c r="C27" s="45" t="str">
        <f t="shared" si="7"/>
        <v xml:space="preserve">Semana 4</v>
      </c>
      <c r="D27" s="46">
        <f t="shared" si="8"/>
        <v>12280</v>
      </c>
      <c r="E27" s="47">
        <f t="shared" si="0"/>
        <v>184</v>
      </c>
      <c r="F27" s="47">
        <f t="shared" si="1"/>
        <v>368</v>
      </c>
      <c r="G27" s="48">
        <f t="shared" si="2"/>
        <v>1840</v>
      </c>
      <c r="H27" s="49">
        <f t="shared" si="3"/>
        <v>10440</v>
      </c>
      <c r="I27" s="50">
        <f t="shared" si="4"/>
        <v>0.47799999999999998</v>
      </c>
      <c r="J27" s="51" t="str">
        <f t="shared" si="9"/>
        <v/>
      </c>
      <c r="K27" s="2" t="str">
        <f t="shared" si="10"/>
        <v/>
      </c>
      <c r="L27" s="2" t="str">
        <f t="shared" si="5"/>
        <v/>
      </c>
      <c r="O27" s="2">
        <f t="shared" si="6"/>
        <v>10</v>
      </c>
    </row>
    <row r="28">
      <c r="A28" s="2">
        <v>5</v>
      </c>
      <c r="C28" s="45" t="str">
        <f t="shared" si="7"/>
        <v xml:space="preserve">Semana 5</v>
      </c>
      <c r="D28" s="46">
        <f t="shared" si="8"/>
        <v>10440</v>
      </c>
      <c r="E28" s="47">
        <f t="shared" si="0"/>
        <v>157</v>
      </c>
      <c r="F28" s="47">
        <f t="shared" si="1"/>
        <v>313</v>
      </c>
      <c r="G28" s="48">
        <f t="shared" si="2"/>
        <v>1565</v>
      </c>
      <c r="H28" s="49">
        <f t="shared" si="3"/>
        <v>8875</v>
      </c>
      <c r="I28" s="50">
        <f t="shared" si="4"/>
        <v>0.55625000000000002</v>
      </c>
      <c r="J28" s="51" t="str">
        <f t="shared" si="9"/>
        <v/>
      </c>
      <c r="K28" s="2" t="str">
        <f t="shared" si="10"/>
        <v/>
      </c>
      <c r="L28" s="2" t="str">
        <f t="shared" si="5"/>
        <v/>
      </c>
      <c r="O28" s="2">
        <f t="shared" si="6"/>
        <v>9.968152866242038</v>
      </c>
    </row>
    <row r="29">
      <c r="A29" s="2">
        <v>6</v>
      </c>
      <c r="C29" s="45" t="str">
        <f t="shared" si="7"/>
        <v xml:space="preserve">Semana 6</v>
      </c>
      <c r="D29" s="46">
        <f t="shared" si="8"/>
        <v>8875</v>
      </c>
      <c r="E29" s="47">
        <f t="shared" si="0"/>
        <v>150</v>
      </c>
      <c r="F29" s="47">
        <f t="shared" si="1"/>
        <v>300</v>
      </c>
      <c r="G29" s="48">
        <f t="shared" si="2"/>
        <v>1500</v>
      </c>
      <c r="H29" s="49">
        <f t="shared" si="3"/>
        <v>7375</v>
      </c>
      <c r="I29" s="50">
        <f t="shared" si="4"/>
        <v>0.63124999999999998</v>
      </c>
      <c r="J29" s="51" t="str">
        <f t="shared" si="9"/>
        <v/>
      </c>
      <c r="K29" s="2" t="str">
        <f t="shared" si="10"/>
        <v/>
      </c>
      <c r="L29" s="2" t="str">
        <f t="shared" si="5"/>
        <v/>
      </c>
      <c r="O29" s="2">
        <f t="shared" si="6"/>
        <v>10</v>
      </c>
    </row>
    <row r="30">
      <c r="A30" s="2">
        <v>7</v>
      </c>
      <c r="C30" s="45" t="str">
        <f t="shared" si="7"/>
        <v xml:space="preserve">Semana 7</v>
      </c>
      <c r="D30" s="46">
        <f t="shared" si="8"/>
        <v>7375</v>
      </c>
      <c r="E30" s="47">
        <f t="shared" si="0"/>
        <v>150</v>
      </c>
      <c r="F30" s="47">
        <f t="shared" si="1"/>
        <v>300</v>
      </c>
      <c r="G30" s="48">
        <f t="shared" si="2"/>
        <v>1500</v>
      </c>
      <c r="H30" s="49">
        <f t="shared" si="3"/>
        <v>5875</v>
      </c>
      <c r="I30" s="50">
        <f t="shared" si="4"/>
        <v>0.70625000000000004</v>
      </c>
      <c r="J30" s="51" t="str">
        <f t="shared" si="9"/>
        <v/>
      </c>
      <c r="K30" s="2" t="str">
        <f t="shared" si="10"/>
        <v/>
      </c>
      <c r="L30" s="2" t="str">
        <f t="shared" si="5"/>
        <v/>
      </c>
      <c r="O30" s="2">
        <f t="shared" si="6"/>
        <v>10</v>
      </c>
    </row>
    <row r="31">
      <c r="A31" s="2">
        <v>8</v>
      </c>
      <c r="C31" s="45" t="str">
        <f t="shared" si="7"/>
        <v xml:space="preserve">Semana 8</v>
      </c>
      <c r="D31" s="46">
        <f t="shared" si="8"/>
        <v>5875</v>
      </c>
      <c r="E31" s="47">
        <f t="shared" si="0"/>
        <v>150</v>
      </c>
      <c r="F31" s="47">
        <f t="shared" si="1"/>
        <v>300</v>
      </c>
      <c r="G31" s="48">
        <f t="shared" si="2"/>
        <v>1500</v>
      </c>
      <c r="H31" s="49">
        <f t="shared" si="3"/>
        <v>4375</v>
      </c>
      <c r="I31" s="50">
        <f t="shared" si="4"/>
        <v>0.78125</v>
      </c>
      <c r="J31" s="51" t="str">
        <f t="shared" si="9"/>
        <v/>
      </c>
      <c r="K31" s="2" t="str">
        <f t="shared" si="10"/>
        <v/>
      </c>
      <c r="L31" s="2" t="str">
        <f t="shared" si="5"/>
        <v/>
      </c>
      <c r="O31" s="2">
        <f t="shared" si="6"/>
        <v>10</v>
      </c>
    </row>
    <row r="32">
      <c r="A32" s="2">
        <v>9</v>
      </c>
      <c r="C32" s="45" t="str">
        <f t="shared" si="7"/>
        <v xml:space="preserve">Semana 9</v>
      </c>
      <c r="D32" s="46">
        <f t="shared" si="8"/>
        <v>4375</v>
      </c>
      <c r="E32" s="47">
        <f t="shared" si="0"/>
        <v>150</v>
      </c>
      <c r="F32" s="47">
        <f t="shared" si="1"/>
        <v>300</v>
      </c>
      <c r="G32" s="48">
        <f t="shared" si="2"/>
        <v>1500</v>
      </c>
      <c r="H32" s="49">
        <f t="shared" si="3"/>
        <v>2875</v>
      </c>
      <c r="I32" s="50">
        <f t="shared" si="4"/>
        <v>0.85624999999999996</v>
      </c>
      <c r="J32" s="51" t="str">
        <f t="shared" si="9"/>
        <v/>
      </c>
      <c r="K32" s="2" t="str">
        <f t="shared" si="10"/>
        <v/>
      </c>
      <c r="L32" s="2" t="str">
        <f t="shared" si="5"/>
        <v/>
      </c>
      <c r="O32" s="2">
        <f t="shared" si="6"/>
        <v>10</v>
      </c>
    </row>
    <row r="33">
      <c r="A33" s="2">
        <v>10</v>
      </c>
      <c r="C33" s="45" t="str">
        <f t="shared" si="7"/>
        <v xml:space="preserve">Semana 10</v>
      </c>
      <c r="D33" s="46">
        <f t="shared" si="8"/>
        <v>2875</v>
      </c>
      <c r="E33" s="47">
        <f t="shared" si="0"/>
        <v>150</v>
      </c>
      <c r="F33" s="47">
        <f t="shared" si="1"/>
        <v>300</v>
      </c>
      <c r="G33" s="48">
        <f t="shared" si="2"/>
        <v>1500</v>
      </c>
      <c r="H33" s="49">
        <f t="shared" si="3"/>
        <v>1375</v>
      </c>
      <c r="I33" s="50">
        <f t="shared" si="4"/>
        <v>0.93125000000000002</v>
      </c>
      <c r="J33" s="51" t="str">
        <f t="shared" si="9"/>
        <v/>
      </c>
      <c r="K33" s="2" t="str">
        <f t="shared" si="10"/>
        <v/>
      </c>
      <c r="L33" s="2" t="str">
        <f t="shared" si="5"/>
        <v/>
      </c>
      <c r="O33" s="2">
        <f t="shared" si="6"/>
        <v>10</v>
      </c>
    </row>
    <row r="34">
      <c r="A34" s="2">
        <v>11</v>
      </c>
      <c r="C34" s="45" t="str">
        <f t="shared" si="7"/>
        <v xml:space="preserve">Semana 11</v>
      </c>
      <c r="D34" s="46">
        <f t="shared" si="8"/>
        <v>1375</v>
      </c>
      <c r="E34" s="47">
        <f t="shared" si="0"/>
        <v>150</v>
      </c>
      <c r="F34" s="47">
        <f t="shared" si="1"/>
        <v>300</v>
      </c>
      <c r="G34" s="48">
        <f t="shared" si="2"/>
        <v>1500</v>
      </c>
      <c r="H34" s="49">
        <f t="shared" si="3"/>
        <v>-125</v>
      </c>
      <c r="I34" s="50">
        <f t="shared" si="4"/>
        <v>1.0062500000000001</v>
      </c>
      <c r="J34" s="51" t="str">
        <f t="shared" si="9"/>
        <v xml:space="preserve">&lt;&lt; AQUI VOCÊ PARA POR FALTA DE CAPITAL</v>
      </c>
      <c r="K34" s="2">
        <f t="shared" si="10"/>
        <v>1</v>
      </c>
      <c r="L34" s="2" t="str">
        <f t="shared" si="5"/>
        <v/>
      </c>
      <c r="O34" s="2">
        <f t="shared" si="6"/>
        <v>9.1666666666666661</v>
      </c>
    </row>
    <row r="35">
      <c r="A35" s="2">
        <v>12</v>
      </c>
      <c r="C35" s="45" t="str">
        <f t="shared" si="7"/>
        <v/>
      </c>
      <c r="D35" s="46" t="str">
        <f t="shared" si="8"/>
        <v/>
      </c>
      <c r="E35" s="47" t="str">
        <f t="shared" si="0"/>
        <v/>
      </c>
      <c r="F35" s="47" t="str">
        <f t="shared" si="1"/>
        <v/>
      </c>
      <c r="G35" s="48" t="str">
        <f t="shared" si="2"/>
        <v/>
      </c>
      <c r="H35" s="49" t="str">
        <f t="shared" si="3"/>
        <v/>
      </c>
      <c r="I35" s="50" t="str">
        <f t="shared" si="4"/>
        <v/>
      </c>
      <c r="J35" s="51" t="str">
        <f t="shared" si="9"/>
        <v/>
      </c>
      <c r="K35" s="2">
        <f t="shared" si="10"/>
        <v>1</v>
      </c>
      <c r="L35" s="2">
        <f t="shared" si="5"/>
        <v>1</v>
      </c>
      <c r="O35" s="2" t="str">
        <f t="shared" si="6"/>
        <v/>
      </c>
    </row>
    <row r="36">
      <c r="A36" s="2">
        <v>13</v>
      </c>
      <c r="C36" s="45" t="str">
        <f t="shared" si="7"/>
        <v/>
      </c>
      <c r="D36" s="46" t="str">
        <f t="shared" si="8"/>
        <v/>
      </c>
      <c r="E36" s="47" t="str">
        <f t="shared" si="0"/>
        <v/>
      </c>
      <c r="F36" s="47" t="str">
        <f t="shared" si="1"/>
        <v/>
      </c>
      <c r="G36" s="48" t="str">
        <f t="shared" si="2"/>
        <v/>
      </c>
      <c r="H36" s="49" t="str">
        <f t="shared" si="3"/>
        <v/>
      </c>
      <c r="I36" s="50" t="str">
        <f t="shared" si="4"/>
        <v/>
      </c>
      <c r="J36" s="51" t="str">
        <f t="shared" si="9"/>
        <v/>
      </c>
      <c r="K36" s="2">
        <f t="shared" si="10"/>
        <v>1</v>
      </c>
      <c r="L36" s="2">
        <f t="shared" si="5"/>
        <v>1</v>
      </c>
      <c r="O36" s="2" t="str">
        <f t="shared" si="6"/>
        <v/>
      </c>
    </row>
    <row r="37">
      <c r="A37" s="2">
        <v>14</v>
      </c>
      <c r="C37" s="45" t="str">
        <f t="shared" si="7"/>
        <v/>
      </c>
      <c r="D37" s="46" t="str">
        <f t="shared" si="8"/>
        <v/>
      </c>
      <c r="E37" s="47" t="str">
        <f t="shared" si="0"/>
        <v/>
      </c>
      <c r="F37" s="47" t="str">
        <f t="shared" si="1"/>
        <v/>
      </c>
      <c r="G37" s="48" t="str">
        <f t="shared" si="2"/>
        <v/>
      </c>
      <c r="H37" s="49" t="str">
        <f t="shared" si="3"/>
        <v/>
      </c>
      <c r="I37" s="50" t="str">
        <f t="shared" si="4"/>
        <v/>
      </c>
      <c r="J37" s="51" t="str">
        <f t="shared" si="9"/>
        <v/>
      </c>
      <c r="K37" s="2">
        <f t="shared" si="10"/>
        <v>1</v>
      </c>
      <c r="L37" s="2">
        <f t="shared" si="5"/>
        <v>1</v>
      </c>
      <c r="O37" s="2" t="str">
        <f t="shared" si="6"/>
        <v/>
      </c>
    </row>
    <row r="38">
      <c r="A38" s="2">
        <v>15</v>
      </c>
      <c r="C38" s="45" t="str">
        <f t="shared" si="7"/>
        <v/>
      </c>
      <c r="D38" s="46" t="str">
        <f t="shared" si="8"/>
        <v/>
      </c>
      <c r="E38" s="47" t="str">
        <f t="shared" si="0"/>
        <v/>
      </c>
      <c r="F38" s="47" t="str">
        <f t="shared" si="1"/>
        <v/>
      </c>
      <c r="G38" s="48" t="str">
        <f t="shared" si="2"/>
        <v/>
      </c>
      <c r="H38" s="49" t="str">
        <f t="shared" si="3"/>
        <v/>
      </c>
      <c r="I38" s="50" t="str">
        <f t="shared" si="4"/>
        <v/>
      </c>
      <c r="J38" s="51" t="str">
        <f t="shared" si="9"/>
        <v/>
      </c>
      <c r="K38" s="2">
        <f t="shared" si="10"/>
        <v>1</v>
      </c>
      <c r="L38" s="2">
        <f t="shared" si="5"/>
        <v>1</v>
      </c>
      <c r="O38" s="2" t="str">
        <f t="shared" si="6"/>
        <v/>
      </c>
    </row>
    <row r="39">
      <c r="A39" s="2">
        <v>16</v>
      </c>
      <c r="C39" s="45" t="str">
        <f t="shared" si="7"/>
        <v/>
      </c>
      <c r="D39" s="46" t="str">
        <f t="shared" si="8"/>
        <v/>
      </c>
      <c r="E39" s="47" t="str">
        <f t="shared" si="0"/>
        <v/>
      </c>
      <c r="F39" s="47" t="str">
        <f t="shared" si="1"/>
        <v/>
      </c>
      <c r="G39" s="48" t="str">
        <f t="shared" si="2"/>
        <v/>
      </c>
      <c r="H39" s="49" t="str">
        <f t="shared" si="3"/>
        <v/>
      </c>
      <c r="I39" s="50" t="str">
        <f t="shared" si="4"/>
        <v/>
      </c>
      <c r="J39" s="51" t="str">
        <f t="shared" si="9"/>
        <v/>
      </c>
      <c r="K39" s="2">
        <f t="shared" si="10"/>
        <v>1</v>
      </c>
      <c r="L39" s="2">
        <f t="shared" si="5"/>
        <v>1</v>
      </c>
      <c r="O39" s="2" t="str">
        <f t="shared" si="6"/>
        <v/>
      </c>
    </row>
    <row r="40">
      <c r="A40" s="2">
        <v>17</v>
      </c>
      <c r="C40" s="45" t="str">
        <f t="shared" si="7"/>
        <v/>
      </c>
      <c r="D40" s="46" t="str">
        <f t="shared" si="8"/>
        <v/>
      </c>
      <c r="E40" s="47" t="str">
        <f t="shared" si="0"/>
        <v/>
      </c>
      <c r="F40" s="47" t="str">
        <f t="shared" si="1"/>
        <v/>
      </c>
      <c r="G40" s="48" t="str">
        <f t="shared" si="2"/>
        <v/>
      </c>
      <c r="H40" s="49" t="str">
        <f t="shared" si="3"/>
        <v/>
      </c>
      <c r="I40" s="50" t="str">
        <f t="shared" si="4"/>
        <v/>
      </c>
      <c r="J40" s="51" t="str">
        <f t="shared" si="9"/>
        <v/>
      </c>
      <c r="K40" s="2">
        <f t="shared" si="10"/>
        <v>1</v>
      </c>
      <c r="L40" s="2">
        <f t="shared" si="5"/>
        <v>1</v>
      </c>
      <c r="O40" s="2" t="str">
        <f t="shared" si="6"/>
        <v/>
      </c>
    </row>
    <row r="41">
      <c r="A41" s="2">
        <v>18</v>
      </c>
      <c r="C41" s="45" t="str">
        <f t="shared" si="7"/>
        <v/>
      </c>
      <c r="D41" s="46" t="str">
        <f t="shared" si="8"/>
        <v/>
      </c>
      <c r="E41" s="47" t="str">
        <f t="shared" si="0"/>
        <v/>
      </c>
      <c r="F41" s="47" t="str">
        <f t="shared" si="1"/>
        <v/>
      </c>
      <c r="G41" s="48" t="str">
        <f t="shared" si="2"/>
        <v/>
      </c>
      <c r="H41" s="49" t="str">
        <f t="shared" si="3"/>
        <v/>
      </c>
      <c r="I41" s="50" t="str">
        <f t="shared" si="4"/>
        <v/>
      </c>
      <c r="J41" s="51" t="str">
        <f t="shared" si="9"/>
        <v/>
      </c>
      <c r="K41" s="2">
        <f t="shared" si="10"/>
        <v>1</v>
      </c>
      <c r="L41" s="2">
        <f t="shared" si="5"/>
        <v>1</v>
      </c>
      <c r="O41" s="2" t="str">
        <f t="shared" si="6"/>
        <v/>
      </c>
    </row>
    <row r="42">
      <c r="A42" s="2">
        <v>19</v>
      </c>
      <c r="C42" s="45" t="str">
        <f t="shared" si="7"/>
        <v/>
      </c>
      <c r="D42" s="46" t="str">
        <f t="shared" si="8"/>
        <v/>
      </c>
      <c r="E42" s="47" t="str">
        <f t="shared" si="0"/>
        <v/>
      </c>
      <c r="F42" s="47" t="str">
        <f t="shared" si="1"/>
        <v/>
      </c>
      <c r="G42" s="48" t="str">
        <f t="shared" si="2"/>
        <v/>
      </c>
      <c r="H42" s="49" t="str">
        <f t="shared" si="3"/>
        <v/>
      </c>
      <c r="I42" s="50" t="str">
        <f t="shared" si="4"/>
        <v/>
      </c>
      <c r="J42" s="51" t="str">
        <f t="shared" si="9"/>
        <v/>
      </c>
      <c r="K42" s="2">
        <f t="shared" si="10"/>
        <v>1</v>
      </c>
      <c r="L42" s="2">
        <f t="shared" si="5"/>
        <v>1</v>
      </c>
      <c r="O42" s="2" t="str">
        <f t="shared" si="6"/>
        <v/>
      </c>
    </row>
    <row r="43">
      <c r="A43" s="2">
        <v>20</v>
      </c>
      <c r="C43" s="45" t="str">
        <f t="shared" si="7"/>
        <v/>
      </c>
      <c r="D43" s="46" t="str">
        <f t="shared" si="8"/>
        <v/>
      </c>
      <c r="E43" s="47" t="str">
        <f t="shared" si="0"/>
        <v/>
      </c>
      <c r="F43" s="47" t="str">
        <f t="shared" si="1"/>
        <v/>
      </c>
      <c r="G43" s="48" t="str">
        <f t="shared" si="2"/>
        <v/>
      </c>
      <c r="H43" s="49" t="str">
        <f t="shared" si="3"/>
        <v/>
      </c>
      <c r="I43" s="50" t="str">
        <f t="shared" si="4"/>
        <v/>
      </c>
      <c r="J43" s="51" t="str">
        <f t="shared" si="9"/>
        <v/>
      </c>
      <c r="K43" s="2">
        <f t="shared" si="10"/>
        <v>1</v>
      </c>
      <c r="L43" s="2">
        <f t="shared" si="5"/>
        <v>1</v>
      </c>
      <c r="O43" s="2" t="str">
        <f t="shared" si="6"/>
        <v/>
      </c>
    </row>
    <row r="44">
      <c r="A44" s="2">
        <v>21</v>
      </c>
      <c r="C44" s="45" t="str">
        <f t="shared" si="7"/>
        <v/>
      </c>
      <c r="D44" s="46" t="str">
        <f t="shared" si="8"/>
        <v/>
      </c>
      <c r="E44" s="47" t="str">
        <f t="shared" si="0"/>
        <v/>
      </c>
      <c r="F44" s="47" t="str">
        <f t="shared" si="1"/>
        <v/>
      </c>
      <c r="G44" s="48" t="str">
        <f t="shared" si="2"/>
        <v/>
      </c>
      <c r="H44" s="49" t="str">
        <f t="shared" si="3"/>
        <v/>
      </c>
      <c r="I44" s="50" t="str">
        <f t="shared" si="4"/>
        <v/>
      </c>
      <c r="J44" s="51" t="str">
        <f t="shared" si="9"/>
        <v/>
      </c>
      <c r="K44" s="2">
        <f t="shared" si="10"/>
        <v>1</v>
      </c>
      <c r="L44" s="2">
        <f t="shared" si="5"/>
        <v>1</v>
      </c>
      <c r="O44" s="2" t="str">
        <f t="shared" si="6"/>
        <v/>
      </c>
    </row>
    <row r="45">
      <c r="A45" s="2">
        <v>22</v>
      </c>
      <c r="C45" s="45" t="str">
        <f t="shared" si="7"/>
        <v/>
      </c>
      <c r="D45" s="46" t="str">
        <f t="shared" si="8"/>
        <v/>
      </c>
      <c r="E45" s="47" t="str">
        <f t="shared" si="0"/>
        <v/>
      </c>
      <c r="F45" s="47" t="str">
        <f t="shared" si="1"/>
        <v/>
      </c>
      <c r="G45" s="48" t="str">
        <f t="shared" si="2"/>
        <v/>
      </c>
      <c r="H45" s="49" t="str">
        <f t="shared" si="3"/>
        <v/>
      </c>
      <c r="I45" s="50" t="str">
        <f t="shared" si="4"/>
        <v/>
      </c>
      <c r="J45" s="51" t="str">
        <f t="shared" si="9"/>
        <v/>
      </c>
      <c r="K45" s="2">
        <f t="shared" si="10"/>
        <v>1</v>
      </c>
      <c r="L45" s="2">
        <f t="shared" si="5"/>
        <v>1</v>
      </c>
      <c r="O45" s="2" t="str">
        <f t="shared" si="6"/>
        <v/>
      </c>
    </row>
    <row r="46">
      <c r="A46" s="2">
        <v>23</v>
      </c>
      <c r="C46" s="45" t="str">
        <f t="shared" si="7"/>
        <v/>
      </c>
      <c r="D46" s="46" t="str">
        <f t="shared" si="8"/>
        <v/>
      </c>
      <c r="E46" s="47" t="str">
        <f t="shared" si="0"/>
        <v/>
      </c>
      <c r="F46" s="47" t="str">
        <f t="shared" si="1"/>
        <v/>
      </c>
      <c r="G46" s="48" t="str">
        <f t="shared" si="2"/>
        <v/>
      </c>
      <c r="H46" s="49" t="str">
        <f t="shared" si="3"/>
        <v/>
      </c>
      <c r="I46" s="50" t="str">
        <f t="shared" si="4"/>
        <v/>
      </c>
      <c r="J46" s="51" t="str">
        <f t="shared" si="9"/>
        <v/>
      </c>
      <c r="K46" s="2">
        <f t="shared" si="10"/>
        <v>1</v>
      </c>
      <c r="L46" s="2">
        <f t="shared" si="5"/>
        <v>1</v>
      </c>
      <c r="O46" s="2" t="str">
        <f t="shared" si="6"/>
        <v/>
      </c>
    </row>
    <row r="47">
      <c r="A47" s="2">
        <v>24</v>
      </c>
      <c r="C47" s="45" t="str">
        <f t="shared" si="7"/>
        <v/>
      </c>
      <c r="D47" s="46" t="str">
        <f t="shared" si="8"/>
        <v/>
      </c>
      <c r="E47" s="47" t="str">
        <f t="shared" si="0"/>
        <v/>
      </c>
      <c r="F47" s="47" t="str">
        <f t="shared" si="1"/>
        <v/>
      </c>
      <c r="G47" s="48" t="str">
        <f t="shared" si="2"/>
        <v/>
      </c>
      <c r="H47" s="49" t="str">
        <f t="shared" si="3"/>
        <v/>
      </c>
      <c r="I47" s="50" t="str">
        <f t="shared" si="4"/>
        <v/>
      </c>
      <c r="J47" s="51" t="str">
        <f t="shared" si="9"/>
        <v/>
      </c>
      <c r="K47" s="2">
        <f t="shared" si="10"/>
        <v>1</v>
      </c>
      <c r="L47" s="2">
        <f t="shared" si="5"/>
        <v>1</v>
      </c>
      <c r="O47" s="2" t="str">
        <f t="shared" si="6"/>
        <v/>
      </c>
    </row>
    <row r="48">
      <c r="A48" s="2">
        <v>25</v>
      </c>
      <c r="C48" s="45" t="str">
        <f t="shared" si="7"/>
        <v/>
      </c>
      <c r="D48" s="46" t="str">
        <f t="shared" si="8"/>
        <v/>
      </c>
      <c r="E48" s="47" t="str">
        <f t="shared" si="0"/>
        <v/>
      </c>
      <c r="F48" s="47" t="str">
        <f t="shared" si="1"/>
        <v/>
      </c>
      <c r="G48" s="48" t="str">
        <f t="shared" si="2"/>
        <v/>
      </c>
      <c r="H48" s="49" t="str">
        <f t="shared" si="3"/>
        <v/>
      </c>
      <c r="I48" s="50" t="str">
        <f t="shared" si="4"/>
        <v/>
      </c>
      <c r="J48" s="51" t="str">
        <f t="shared" si="9"/>
        <v/>
      </c>
      <c r="K48" s="2">
        <f t="shared" si="10"/>
        <v>1</v>
      </c>
      <c r="L48" s="2">
        <f t="shared" si="5"/>
        <v>1</v>
      </c>
      <c r="O48" s="2" t="str">
        <f t="shared" si="6"/>
        <v/>
      </c>
    </row>
    <row r="49">
      <c r="A49" s="2">
        <v>26</v>
      </c>
      <c r="C49" s="45" t="str">
        <f t="shared" si="7"/>
        <v/>
      </c>
      <c r="D49" s="46" t="str">
        <f t="shared" si="8"/>
        <v/>
      </c>
      <c r="E49" s="47" t="str">
        <f t="shared" si="0"/>
        <v/>
      </c>
      <c r="F49" s="47" t="str">
        <f t="shared" si="1"/>
        <v/>
      </c>
      <c r="G49" s="48" t="str">
        <f t="shared" si="2"/>
        <v/>
      </c>
      <c r="H49" s="49" t="str">
        <f t="shared" si="3"/>
        <v/>
      </c>
      <c r="I49" s="50" t="str">
        <f t="shared" si="4"/>
        <v/>
      </c>
      <c r="J49" s="51" t="str">
        <f t="shared" si="9"/>
        <v/>
      </c>
      <c r="K49" s="2">
        <f t="shared" si="10"/>
        <v>1</v>
      </c>
      <c r="L49" s="2">
        <f t="shared" si="5"/>
        <v>1</v>
      </c>
      <c r="O49" s="2" t="str">
        <f t="shared" si="6"/>
        <v/>
      </c>
    </row>
    <row r="50">
      <c r="A50" s="2">
        <v>27</v>
      </c>
      <c r="C50" s="45" t="str">
        <f t="shared" si="7"/>
        <v/>
      </c>
      <c r="D50" s="46" t="str">
        <f t="shared" si="8"/>
        <v/>
      </c>
      <c r="E50" s="47" t="str">
        <f t="shared" si="0"/>
        <v/>
      </c>
      <c r="F50" s="47" t="str">
        <f t="shared" si="1"/>
        <v/>
      </c>
      <c r="G50" s="48" t="str">
        <f t="shared" si="2"/>
        <v/>
      </c>
      <c r="H50" s="49" t="str">
        <f t="shared" si="3"/>
        <v/>
      </c>
      <c r="I50" s="50" t="str">
        <f t="shared" si="4"/>
        <v/>
      </c>
      <c r="J50" s="51" t="str">
        <f t="shared" si="9"/>
        <v/>
      </c>
      <c r="K50" s="2">
        <f t="shared" si="10"/>
        <v>1</v>
      </c>
      <c r="L50" s="2">
        <f t="shared" si="5"/>
        <v>1</v>
      </c>
      <c r="O50" s="2" t="str">
        <f t="shared" si="6"/>
        <v/>
      </c>
    </row>
    <row r="51">
      <c r="A51" s="2">
        <v>28</v>
      </c>
      <c r="C51" s="45" t="str">
        <f t="shared" si="7"/>
        <v/>
      </c>
      <c r="D51" s="46" t="str">
        <f t="shared" si="8"/>
        <v/>
      </c>
      <c r="E51" s="47" t="str">
        <f t="shared" si="0"/>
        <v/>
      </c>
      <c r="F51" s="47" t="str">
        <f t="shared" si="1"/>
        <v/>
      </c>
      <c r="G51" s="48" t="str">
        <f t="shared" si="2"/>
        <v/>
      </c>
      <c r="H51" s="49" t="str">
        <f t="shared" si="3"/>
        <v/>
      </c>
      <c r="I51" s="50" t="str">
        <f t="shared" si="4"/>
        <v/>
      </c>
      <c r="J51" s="51" t="str">
        <f t="shared" si="9"/>
        <v/>
      </c>
      <c r="K51" s="2">
        <f t="shared" si="10"/>
        <v>1</v>
      </c>
      <c r="L51" s="2">
        <f t="shared" si="5"/>
        <v>1</v>
      </c>
      <c r="O51" s="2" t="str">
        <f t="shared" si="6"/>
        <v/>
      </c>
    </row>
    <row r="52">
      <c r="A52" s="2">
        <v>29</v>
      </c>
      <c r="C52" s="45" t="str">
        <f t="shared" si="7"/>
        <v/>
      </c>
      <c r="D52" s="46" t="str">
        <f t="shared" si="8"/>
        <v/>
      </c>
      <c r="E52" s="47" t="str">
        <f t="shared" si="0"/>
        <v/>
      </c>
      <c r="F52" s="47" t="str">
        <f t="shared" si="1"/>
        <v/>
      </c>
      <c r="G52" s="48" t="str">
        <f t="shared" si="2"/>
        <v/>
      </c>
      <c r="H52" s="49" t="str">
        <f t="shared" si="3"/>
        <v/>
      </c>
      <c r="I52" s="50" t="str">
        <f t="shared" si="4"/>
        <v/>
      </c>
      <c r="J52" s="51" t="str">
        <f t="shared" si="9"/>
        <v/>
      </c>
      <c r="K52" s="2">
        <f t="shared" si="10"/>
        <v>1</v>
      </c>
      <c r="L52" s="2">
        <f t="shared" si="5"/>
        <v>1</v>
      </c>
      <c r="O52" s="2" t="str">
        <f t="shared" si="6"/>
        <v/>
      </c>
    </row>
    <row r="53">
      <c r="A53" s="2">
        <v>30</v>
      </c>
      <c r="C53" s="45" t="str">
        <f t="shared" si="7"/>
        <v/>
      </c>
      <c r="D53" s="46" t="str">
        <f t="shared" si="8"/>
        <v/>
      </c>
      <c r="E53" s="47" t="str">
        <f t="shared" si="0"/>
        <v/>
      </c>
      <c r="F53" s="47" t="str">
        <f t="shared" si="1"/>
        <v/>
      </c>
      <c r="G53" s="48" t="str">
        <f t="shared" si="2"/>
        <v/>
      </c>
      <c r="H53" s="49" t="str">
        <f t="shared" si="3"/>
        <v/>
      </c>
      <c r="I53" s="50" t="str">
        <f t="shared" si="4"/>
        <v/>
      </c>
      <c r="J53" s="51" t="str">
        <f t="shared" si="9"/>
        <v/>
      </c>
      <c r="K53" s="2">
        <f t="shared" si="10"/>
        <v>1</v>
      </c>
      <c r="L53" s="2">
        <f t="shared" si="5"/>
        <v>1</v>
      </c>
      <c r="O53" s="2" t="str">
        <f t="shared" si="6"/>
        <v/>
      </c>
    </row>
    <row r="54">
      <c r="A54" s="2">
        <v>31</v>
      </c>
      <c r="C54" s="45" t="str">
        <f t="shared" si="7"/>
        <v/>
      </c>
      <c r="D54" s="46" t="str">
        <f t="shared" si="8"/>
        <v/>
      </c>
      <c r="E54" s="47" t="str">
        <f t="shared" si="0"/>
        <v/>
      </c>
      <c r="F54" s="47" t="str">
        <f t="shared" si="1"/>
        <v/>
      </c>
      <c r="G54" s="48" t="str">
        <f t="shared" si="2"/>
        <v/>
      </c>
      <c r="H54" s="49" t="str">
        <f t="shared" si="3"/>
        <v/>
      </c>
      <c r="I54" s="50" t="str">
        <f t="shared" si="4"/>
        <v/>
      </c>
      <c r="J54" s="51" t="str">
        <f t="shared" si="9"/>
        <v/>
      </c>
      <c r="K54" s="2">
        <f t="shared" si="10"/>
        <v>1</v>
      </c>
      <c r="L54" s="2">
        <f t="shared" si="5"/>
        <v>1</v>
      </c>
      <c r="O54" s="2" t="str">
        <f t="shared" si="6"/>
        <v/>
      </c>
    </row>
    <row r="55">
      <c r="A55" s="2">
        <v>32</v>
      </c>
      <c r="C55" s="45" t="str">
        <f t="shared" si="7"/>
        <v/>
      </c>
      <c r="D55" s="46" t="str">
        <f t="shared" si="8"/>
        <v/>
      </c>
      <c r="E55" s="47" t="str">
        <f t="shared" si="0"/>
        <v/>
      </c>
      <c r="F55" s="47" t="str">
        <f t="shared" si="1"/>
        <v/>
      </c>
      <c r="G55" s="48" t="str">
        <f t="shared" si="2"/>
        <v/>
      </c>
      <c r="H55" s="49" t="str">
        <f t="shared" si="3"/>
        <v/>
      </c>
      <c r="I55" s="50" t="str">
        <f t="shared" si="4"/>
        <v/>
      </c>
      <c r="J55" s="51" t="str">
        <f t="shared" si="9"/>
        <v/>
      </c>
      <c r="K55" s="2">
        <f t="shared" si="10"/>
        <v>1</v>
      </c>
      <c r="L55" s="2">
        <f t="shared" si="5"/>
        <v>1</v>
      </c>
      <c r="O55" s="2" t="str">
        <f t="shared" si="6"/>
        <v/>
      </c>
    </row>
    <row r="56">
      <c r="A56" s="2">
        <v>33</v>
      </c>
      <c r="C56" s="45" t="str">
        <f t="shared" si="7"/>
        <v/>
      </c>
      <c r="D56" s="46" t="str">
        <f t="shared" si="8"/>
        <v/>
      </c>
      <c r="E56" s="47" t="str">
        <f t="shared" si="0"/>
        <v/>
      </c>
      <c r="F56" s="47" t="str">
        <f t="shared" si="1"/>
        <v/>
      </c>
      <c r="G56" s="48" t="str">
        <f t="shared" si="2"/>
        <v/>
      </c>
      <c r="H56" s="49" t="str">
        <f t="shared" si="3"/>
        <v/>
      </c>
      <c r="I56" s="50" t="str">
        <f t="shared" si="4"/>
        <v/>
      </c>
      <c r="J56" s="51" t="str">
        <f t="shared" si="9"/>
        <v/>
      </c>
      <c r="K56" s="2">
        <f t="shared" si="10"/>
        <v>1</v>
      </c>
      <c r="L56" s="2">
        <f t="shared" si="5"/>
        <v>1</v>
      </c>
      <c r="O56" s="2" t="str">
        <f t="shared" si="6"/>
        <v/>
      </c>
    </row>
    <row r="57">
      <c r="A57" s="2">
        <v>34</v>
      </c>
      <c r="C57" s="45" t="str">
        <f t="shared" si="7"/>
        <v/>
      </c>
      <c r="D57" s="46" t="str">
        <f t="shared" si="8"/>
        <v/>
      </c>
      <c r="E57" s="47" t="str">
        <f t="shared" si="0"/>
        <v/>
      </c>
      <c r="F57" s="47" t="str">
        <f t="shared" si="1"/>
        <v/>
      </c>
      <c r="G57" s="48" t="str">
        <f t="shared" si="2"/>
        <v/>
      </c>
      <c r="H57" s="49" t="str">
        <f t="shared" si="3"/>
        <v/>
      </c>
      <c r="I57" s="50" t="str">
        <f t="shared" si="4"/>
        <v/>
      </c>
      <c r="J57" s="51" t="str">
        <f t="shared" si="9"/>
        <v/>
      </c>
      <c r="K57" s="2">
        <f t="shared" si="10"/>
        <v>1</v>
      </c>
      <c r="L57" s="2">
        <f t="shared" si="5"/>
        <v>1</v>
      </c>
      <c r="O57" s="2" t="str">
        <f t="shared" si="6"/>
        <v/>
      </c>
    </row>
    <row r="58">
      <c r="A58" s="2">
        <v>35</v>
      </c>
      <c r="C58" s="45" t="str">
        <f t="shared" si="7"/>
        <v/>
      </c>
      <c r="D58" s="46" t="str">
        <f t="shared" si="8"/>
        <v/>
      </c>
      <c r="E58" s="47" t="str">
        <f t="shared" si="0"/>
        <v/>
      </c>
      <c r="F58" s="47" t="str">
        <f t="shared" si="1"/>
        <v/>
      </c>
      <c r="G58" s="48" t="str">
        <f t="shared" si="2"/>
        <v/>
      </c>
      <c r="H58" s="49" t="str">
        <f t="shared" si="3"/>
        <v/>
      </c>
      <c r="I58" s="50" t="str">
        <f t="shared" si="4"/>
        <v/>
      </c>
      <c r="J58" s="51" t="str">
        <f t="shared" si="9"/>
        <v/>
      </c>
      <c r="K58" s="2">
        <f t="shared" si="10"/>
        <v>1</v>
      </c>
      <c r="L58" s="2">
        <f t="shared" si="5"/>
        <v>1</v>
      </c>
      <c r="O58" s="2" t="str">
        <f t="shared" si="6"/>
        <v/>
      </c>
    </row>
    <row r="59">
      <c r="A59" s="2">
        <v>36</v>
      </c>
      <c r="C59" s="45" t="str">
        <f t="shared" si="7"/>
        <v/>
      </c>
      <c r="D59" s="46" t="str">
        <f t="shared" si="8"/>
        <v/>
      </c>
      <c r="E59" s="47" t="str">
        <f t="shared" si="0"/>
        <v/>
      </c>
      <c r="F59" s="47" t="str">
        <f t="shared" si="1"/>
        <v/>
      </c>
      <c r="G59" s="48" t="str">
        <f t="shared" si="2"/>
        <v/>
      </c>
      <c r="H59" s="49" t="str">
        <f t="shared" si="3"/>
        <v/>
      </c>
      <c r="I59" s="50" t="str">
        <f t="shared" si="4"/>
        <v/>
      </c>
      <c r="J59" s="51" t="str">
        <f t="shared" si="9"/>
        <v/>
      </c>
      <c r="K59" s="2">
        <f t="shared" si="10"/>
        <v>1</v>
      </c>
      <c r="L59" s="2">
        <f t="shared" si="5"/>
        <v>1</v>
      </c>
      <c r="O59" s="2" t="str">
        <f t="shared" si="6"/>
        <v/>
      </c>
    </row>
    <row r="60">
      <c r="A60" s="2">
        <v>37</v>
      </c>
      <c r="C60" s="45" t="str">
        <f t="shared" si="7"/>
        <v/>
      </c>
      <c r="D60" s="46" t="str">
        <f t="shared" si="8"/>
        <v/>
      </c>
      <c r="E60" s="47" t="str">
        <f t="shared" si="0"/>
        <v/>
      </c>
      <c r="F60" s="47" t="str">
        <f t="shared" si="1"/>
        <v/>
      </c>
      <c r="G60" s="48" t="str">
        <f t="shared" si="2"/>
        <v/>
      </c>
      <c r="H60" s="49" t="str">
        <f t="shared" si="3"/>
        <v/>
      </c>
      <c r="I60" s="50" t="str">
        <f t="shared" si="4"/>
        <v/>
      </c>
      <c r="J60" s="51" t="str">
        <f t="shared" si="9"/>
        <v/>
      </c>
      <c r="K60" s="2">
        <f t="shared" si="10"/>
        <v>1</v>
      </c>
      <c r="L60" s="2">
        <f t="shared" si="5"/>
        <v>1</v>
      </c>
      <c r="O60" s="2" t="str">
        <f t="shared" si="6"/>
        <v/>
      </c>
    </row>
    <row r="61">
      <c r="A61" s="2">
        <v>38</v>
      </c>
      <c r="C61" s="45" t="str">
        <f t="shared" si="7"/>
        <v/>
      </c>
      <c r="D61" s="46" t="str">
        <f t="shared" si="8"/>
        <v/>
      </c>
      <c r="E61" s="47" t="str">
        <f t="shared" si="0"/>
        <v/>
      </c>
      <c r="F61" s="47" t="str">
        <f t="shared" si="1"/>
        <v/>
      </c>
      <c r="G61" s="48" t="str">
        <f t="shared" si="2"/>
        <v/>
      </c>
      <c r="H61" s="49" t="str">
        <f t="shared" si="3"/>
        <v/>
      </c>
      <c r="I61" s="50" t="str">
        <f t="shared" si="4"/>
        <v/>
      </c>
      <c r="J61" s="51" t="str">
        <f t="shared" si="9"/>
        <v/>
      </c>
      <c r="K61" s="2">
        <f t="shared" si="10"/>
        <v>1</v>
      </c>
      <c r="L61" s="2">
        <f t="shared" si="5"/>
        <v>1</v>
      </c>
      <c r="O61" s="2" t="str">
        <f t="shared" si="6"/>
        <v/>
      </c>
    </row>
    <row r="62">
      <c r="A62" s="2">
        <v>39</v>
      </c>
      <c r="C62" s="45" t="str">
        <f t="shared" si="7"/>
        <v/>
      </c>
      <c r="D62" s="46" t="str">
        <f t="shared" si="8"/>
        <v/>
      </c>
      <c r="E62" s="47" t="str">
        <f t="shared" si="0"/>
        <v/>
      </c>
      <c r="F62" s="47" t="str">
        <f t="shared" si="1"/>
        <v/>
      </c>
      <c r="G62" s="48" t="str">
        <f t="shared" si="2"/>
        <v/>
      </c>
      <c r="H62" s="49" t="str">
        <f t="shared" si="3"/>
        <v/>
      </c>
      <c r="I62" s="50" t="str">
        <f t="shared" si="4"/>
        <v/>
      </c>
      <c r="J62" s="51" t="str">
        <f t="shared" si="9"/>
        <v/>
      </c>
      <c r="K62" s="2">
        <f t="shared" si="10"/>
        <v>1</v>
      </c>
      <c r="L62" s="2">
        <f t="shared" si="5"/>
        <v>1</v>
      </c>
      <c r="O62" s="2" t="str">
        <f t="shared" si="6"/>
        <v/>
      </c>
    </row>
    <row r="63">
      <c r="A63" s="2">
        <v>40</v>
      </c>
      <c r="C63" s="45" t="str">
        <f t="shared" si="7"/>
        <v/>
      </c>
      <c r="D63" s="46" t="str">
        <f t="shared" si="8"/>
        <v/>
      </c>
      <c r="E63" s="47" t="str">
        <f t="shared" si="0"/>
        <v/>
      </c>
      <c r="F63" s="47" t="str">
        <f t="shared" si="1"/>
        <v/>
      </c>
      <c r="G63" s="48" t="str">
        <f t="shared" si="2"/>
        <v/>
      </c>
      <c r="H63" s="49" t="str">
        <f t="shared" si="3"/>
        <v/>
      </c>
      <c r="I63" s="50" t="str">
        <f t="shared" si="4"/>
        <v/>
      </c>
      <c r="J63" s="51" t="str">
        <f t="shared" si="9"/>
        <v/>
      </c>
      <c r="K63" s="2">
        <f t="shared" si="10"/>
        <v>1</v>
      </c>
      <c r="L63" s="2">
        <f t="shared" si="5"/>
        <v>1</v>
      </c>
      <c r="O63" s="2" t="str">
        <f t="shared" si="6"/>
        <v/>
      </c>
    </row>
    <row r="64">
      <c r="A64" s="2">
        <v>41</v>
      </c>
      <c r="C64" s="45" t="str">
        <f t="shared" si="7"/>
        <v/>
      </c>
      <c r="D64" s="46" t="str">
        <f t="shared" si="8"/>
        <v/>
      </c>
      <c r="E64" s="47" t="str">
        <f t="shared" si="0"/>
        <v/>
      </c>
      <c r="F64" s="47" t="str">
        <f t="shared" si="1"/>
        <v/>
      </c>
      <c r="G64" s="48" t="str">
        <f t="shared" si="2"/>
        <v/>
      </c>
      <c r="H64" s="49" t="str">
        <f t="shared" si="3"/>
        <v/>
      </c>
      <c r="I64" s="50" t="str">
        <f t="shared" si="4"/>
        <v/>
      </c>
      <c r="J64" s="51" t="str">
        <f t="shared" si="9"/>
        <v/>
      </c>
      <c r="K64" s="2">
        <f t="shared" si="10"/>
        <v>1</v>
      </c>
      <c r="L64" s="2">
        <f t="shared" si="5"/>
        <v>1</v>
      </c>
      <c r="O64" s="2" t="str">
        <f t="shared" si="6"/>
        <v/>
      </c>
    </row>
    <row r="65">
      <c r="A65" s="2">
        <v>42</v>
      </c>
      <c r="C65" s="45" t="str">
        <f t="shared" si="7"/>
        <v/>
      </c>
      <c r="D65" s="46" t="str">
        <f t="shared" si="8"/>
        <v/>
      </c>
      <c r="E65" s="47" t="str">
        <f t="shared" si="0"/>
        <v/>
      </c>
      <c r="F65" s="47" t="str">
        <f t="shared" si="1"/>
        <v/>
      </c>
      <c r="G65" s="48" t="str">
        <f t="shared" si="2"/>
        <v/>
      </c>
      <c r="H65" s="49" t="str">
        <f t="shared" si="3"/>
        <v/>
      </c>
      <c r="I65" s="50" t="str">
        <f t="shared" si="4"/>
        <v/>
      </c>
      <c r="J65" s="51" t="str">
        <f t="shared" si="9"/>
        <v/>
      </c>
      <c r="K65" s="2">
        <f t="shared" si="10"/>
        <v>1</v>
      </c>
      <c r="L65" s="2">
        <f t="shared" si="5"/>
        <v>1</v>
      </c>
      <c r="O65" s="2" t="str">
        <f t="shared" si="6"/>
        <v/>
      </c>
    </row>
    <row r="66">
      <c r="A66" s="2">
        <v>43</v>
      </c>
      <c r="C66" s="45" t="str">
        <f t="shared" si="7"/>
        <v/>
      </c>
      <c r="D66" s="46" t="str">
        <f t="shared" si="8"/>
        <v/>
      </c>
      <c r="E66" s="47" t="str">
        <f t="shared" si="0"/>
        <v/>
      </c>
      <c r="F66" s="47" t="str">
        <f t="shared" si="1"/>
        <v/>
      </c>
      <c r="G66" s="48" t="str">
        <f t="shared" si="2"/>
        <v/>
      </c>
      <c r="H66" s="49" t="str">
        <f t="shared" si="3"/>
        <v/>
      </c>
      <c r="I66" s="50" t="str">
        <f t="shared" si="4"/>
        <v/>
      </c>
      <c r="J66" s="51" t="str">
        <f t="shared" si="9"/>
        <v/>
      </c>
      <c r="K66" s="2">
        <f t="shared" si="10"/>
        <v>1</v>
      </c>
      <c r="L66" s="2">
        <f t="shared" si="5"/>
        <v>1</v>
      </c>
      <c r="O66" s="2" t="str">
        <f t="shared" si="6"/>
        <v/>
      </c>
    </row>
    <row r="67">
      <c r="A67" s="2">
        <v>44</v>
      </c>
      <c r="C67" s="45" t="str">
        <f t="shared" si="7"/>
        <v/>
      </c>
      <c r="D67" s="46" t="str">
        <f t="shared" si="8"/>
        <v/>
      </c>
      <c r="E67" s="47" t="str">
        <f t="shared" si="0"/>
        <v/>
      </c>
      <c r="F67" s="47" t="str">
        <f t="shared" si="1"/>
        <v/>
      </c>
      <c r="G67" s="48" t="str">
        <f t="shared" si="2"/>
        <v/>
      </c>
      <c r="H67" s="49" t="str">
        <f t="shared" si="3"/>
        <v/>
      </c>
      <c r="I67" s="50" t="str">
        <f t="shared" si="4"/>
        <v/>
      </c>
      <c r="J67" s="51" t="str">
        <f t="shared" si="9"/>
        <v/>
      </c>
      <c r="K67" s="2">
        <f t="shared" si="10"/>
        <v>1</v>
      </c>
      <c r="L67" s="2">
        <f t="shared" si="5"/>
        <v>1</v>
      </c>
      <c r="O67" s="2" t="str">
        <f t="shared" si="6"/>
        <v/>
      </c>
    </row>
    <row r="68">
      <c r="A68" s="2">
        <v>45</v>
      </c>
      <c r="C68" s="45" t="str">
        <f t="shared" si="7"/>
        <v/>
      </c>
      <c r="D68" s="46" t="str">
        <f t="shared" si="8"/>
        <v/>
      </c>
      <c r="E68" s="47" t="str">
        <f t="shared" si="0"/>
        <v/>
      </c>
      <c r="F68" s="47" t="str">
        <f t="shared" si="1"/>
        <v/>
      </c>
      <c r="G68" s="48" t="str">
        <f t="shared" si="2"/>
        <v/>
      </c>
      <c r="H68" s="49" t="str">
        <f t="shared" si="3"/>
        <v/>
      </c>
      <c r="I68" s="50" t="str">
        <f t="shared" si="4"/>
        <v/>
      </c>
      <c r="J68" s="51" t="str">
        <f t="shared" si="9"/>
        <v/>
      </c>
      <c r="K68" s="2">
        <f t="shared" si="10"/>
        <v>1</v>
      </c>
      <c r="L68" s="2">
        <f t="shared" si="5"/>
        <v>1</v>
      </c>
      <c r="O68" s="2" t="str">
        <f t="shared" si="6"/>
        <v/>
      </c>
    </row>
    <row r="69">
      <c r="A69" s="2">
        <v>46</v>
      </c>
      <c r="C69" s="45" t="str">
        <f t="shared" si="7"/>
        <v/>
      </c>
      <c r="D69" s="46" t="str">
        <f t="shared" si="8"/>
        <v/>
      </c>
      <c r="E69" s="47" t="str">
        <f t="shared" si="0"/>
        <v/>
      </c>
      <c r="F69" s="47" t="str">
        <f t="shared" si="1"/>
        <v/>
      </c>
      <c r="G69" s="48" t="str">
        <f t="shared" si="2"/>
        <v/>
      </c>
      <c r="H69" s="49" t="str">
        <f t="shared" si="3"/>
        <v/>
      </c>
      <c r="I69" s="50" t="str">
        <f t="shared" si="4"/>
        <v/>
      </c>
      <c r="J69" s="51" t="str">
        <f t="shared" si="9"/>
        <v/>
      </c>
      <c r="K69" s="2">
        <f t="shared" si="10"/>
        <v>1</v>
      </c>
      <c r="L69" s="2">
        <f t="shared" si="5"/>
        <v>1</v>
      </c>
      <c r="O69" s="2" t="str">
        <f t="shared" si="6"/>
        <v/>
      </c>
    </row>
    <row r="70">
      <c r="A70" s="2">
        <v>47</v>
      </c>
      <c r="C70" s="45" t="str">
        <f t="shared" si="7"/>
        <v/>
      </c>
      <c r="D70" s="46" t="str">
        <f t="shared" si="8"/>
        <v/>
      </c>
      <c r="E70" s="47" t="str">
        <f t="shared" si="0"/>
        <v/>
      </c>
      <c r="F70" s="47" t="str">
        <f t="shared" si="1"/>
        <v/>
      </c>
      <c r="G70" s="48" t="str">
        <f t="shared" si="2"/>
        <v/>
      </c>
      <c r="H70" s="49" t="str">
        <f t="shared" si="3"/>
        <v/>
      </c>
      <c r="I70" s="50" t="str">
        <f t="shared" si="4"/>
        <v/>
      </c>
      <c r="J70" s="51" t="str">
        <f t="shared" si="9"/>
        <v/>
      </c>
      <c r="K70" s="2">
        <f t="shared" si="10"/>
        <v>1</v>
      </c>
      <c r="L70" s="2">
        <f t="shared" si="5"/>
        <v>1</v>
      </c>
      <c r="O70" s="2" t="str">
        <f t="shared" si="6"/>
        <v/>
      </c>
    </row>
    <row r="71">
      <c r="A71" s="2">
        <v>48</v>
      </c>
      <c r="C71" s="45" t="str">
        <f t="shared" si="7"/>
        <v/>
      </c>
      <c r="D71" s="46" t="str">
        <f t="shared" si="8"/>
        <v/>
      </c>
      <c r="E71" s="47" t="str">
        <f t="shared" si="0"/>
        <v/>
      </c>
      <c r="F71" s="47" t="str">
        <f t="shared" si="1"/>
        <v/>
      </c>
      <c r="G71" s="48" t="str">
        <f t="shared" si="2"/>
        <v/>
      </c>
      <c r="H71" s="49" t="str">
        <f t="shared" si="3"/>
        <v/>
      </c>
      <c r="I71" s="50" t="str">
        <f t="shared" si="4"/>
        <v/>
      </c>
      <c r="J71" s="51" t="str">
        <f t="shared" si="9"/>
        <v/>
      </c>
      <c r="K71" s="2">
        <f t="shared" si="10"/>
        <v>1</v>
      </c>
      <c r="L71" s="2">
        <f t="shared" si="5"/>
        <v>1</v>
      </c>
      <c r="O71" s="2" t="str">
        <f t="shared" si="6"/>
        <v/>
      </c>
    </row>
    <row r="72">
      <c r="A72" s="2">
        <v>49</v>
      </c>
      <c r="C72" s="45" t="str">
        <f t="shared" si="7"/>
        <v/>
      </c>
      <c r="D72" s="46" t="str">
        <f t="shared" si="8"/>
        <v/>
      </c>
      <c r="E72" s="47" t="str">
        <f t="shared" si="0"/>
        <v/>
      </c>
      <c r="F72" s="47" t="str">
        <f t="shared" si="1"/>
        <v/>
      </c>
      <c r="G72" s="48" t="str">
        <f t="shared" si="2"/>
        <v/>
      </c>
      <c r="H72" s="49" t="str">
        <f t="shared" si="3"/>
        <v/>
      </c>
      <c r="I72" s="50" t="str">
        <f t="shared" si="4"/>
        <v/>
      </c>
      <c r="J72" s="51" t="str">
        <f t="shared" si="9"/>
        <v/>
      </c>
      <c r="K72" s="2">
        <f t="shared" si="10"/>
        <v>1</v>
      </c>
      <c r="L72" s="2">
        <f t="shared" si="5"/>
        <v>1</v>
      </c>
      <c r="O72" s="2" t="str">
        <f t="shared" si="6"/>
        <v/>
      </c>
    </row>
    <row r="73">
      <c r="A73" s="2">
        <v>50</v>
      </c>
      <c r="C73" s="45" t="str">
        <f t="shared" si="7"/>
        <v/>
      </c>
      <c r="D73" s="46" t="str">
        <f t="shared" si="8"/>
        <v/>
      </c>
      <c r="E73" s="47" t="str">
        <f t="shared" si="0"/>
        <v/>
      </c>
      <c r="F73" s="47" t="str">
        <f t="shared" si="1"/>
        <v/>
      </c>
      <c r="G73" s="48" t="str">
        <f t="shared" si="2"/>
        <v/>
      </c>
      <c r="H73" s="49" t="str">
        <f t="shared" si="3"/>
        <v/>
      </c>
      <c r="I73" s="50" t="str">
        <f t="shared" si="4"/>
        <v/>
      </c>
      <c r="J73" s="51" t="str">
        <f t="shared" si="9"/>
        <v/>
      </c>
      <c r="K73" s="2">
        <f t="shared" si="10"/>
        <v>1</v>
      </c>
      <c r="L73" s="2">
        <f t="shared" si="5"/>
        <v>1</v>
      </c>
      <c r="O73" s="2" t="str">
        <f t="shared" si="6"/>
        <v/>
      </c>
    </row>
    <row r="74">
      <c r="A74" s="2">
        <v>51</v>
      </c>
      <c r="C74" s="45" t="str">
        <f t="shared" si="7"/>
        <v/>
      </c>
      <c r="D74" s="46" t="str">
        <f t="shared" si="8"/>
        <v/>
      </c>
      <c r="E74" s="47" t="str">
        <f t="shared" si="0"/>
        <v/>
      </c>
      <c r="F74" s="47" t="str">
        <f t="shared" si="1"/>
        <v/>
      </c>
      <c r="G74" s="48" t="str">
        <f t="shared" si="2"/>
        <v/>
      </c>
      <c r="H74" s="49" t="str">
        <f t="shared" si="3"/>
        <v/>
      </c>
      <c r="I74" s="50" t="str">
        <f t="shared" si="4"/>
        <v/>
      </c>
      <c r="J74" s="51" t="str">
        <f t="shared" si="9"/>
        <v/>
      </c>
      <c r="K74" s="2">
        <f t="shared" si="10"/>
        <v>1</v>
      </c>
      <c r="L74" s="2">
        <f t="shared" si="5"/>
        <v>1</v>
      </c>
      <c r="O74" s="2" t="str">
        <f t="shared" si="6"/>
        <v/>
      </c>
    </row>
    <row r="75">
      <c r="A75" s="2">
        <v>52</v>
      </c>
      <c r="C75" s="45" t="str">
        <f t="shared" si="7"/>
        <v/>
      </c>
      <c r="D75" s="46" t="str">
        <f t="shared" si="8"/>
        <v/>
      </c>
      <c r="E75" s="47" t="str">
        <f t="shared" si="0"/>
        <v/>
      </c>
      <c r="F75" s="47" t="str">
        <f t="shared" si="1"/>
        <v/>
      </c>
      <c r="G75" s="48" t="str">
        <f t="shared" si="2"/>
        <v/>
      </c>
      <c r="H75" s="49" t="str">
        <f t="shared" si="3"/>
        <v/>
      </c>
      <c r="I75" s="50" t="str">
        <f t="shared" si="4"/>
        <v/>
      </c>
      <c r="J75" s="51" t="str">
        <f t="shared" si="9"/>
        <v/>
      </c>
      <c r="K75" s="2">
        <f t="shared" si="10"/>
        <v>1</v>
      </c>
      <c r="L75" s="2">
        <f t="shared" si="5"/>
        <v>1</v>
      </c>
      <c r="O75" s="2" t="str">
        <f t="shared" si="6"/>
        <v/>
      </c>
    </row>
    <row r="76">
      <c r="A76" s="2">
        <v>53</v>
      </c>
      <c r="C76" s="45" t="str">
        <f t="shared" si="7"/>
        <v/>
      </c>
      <c r="D76" s="46" t="str">
        <f t="shared" si="8"/>
        <v/>
      </c>
      <c r="E76" s="47" t="str">
        <f t="shared" si="0"/>
        <v/>
      </c>
      <c r="F76" s="47" t="str">
        <f t="shared" si="1"/>
        <v/>
      </c>
      <c r="G76" s="48" t="str">
        <f t="shared" si="2"/>
        <v/>
      </c>
      <c r="H76" s="49" t="str">
        <f t="shared" si="3"/>
        <v/>
      </c>
      <c r="I76" s="50" t="str">
        <f t="shared" si="4"/>
        <v/>
      </c>
      <c r="J76" s="51" t="str">
        <f t="shared" si="9"/>
        <v/>
      </c>
      <c r="K76" s="2">
        <f t="shared" si="10"/>
        <v>1</v>
      </c>
      <c r="L76" s="2">
        <f t="shared" si="5"/>
        <v>1</v>
      </c>
      <c r="O76" s="2" t="str">
        <f t="shared" si="6"/>
        <v/>
      </c>
    </row>
    <row r="77">
      <c r="A77" s="2">
        <v>54</v>
      </c>
      <c r="C77" s="45" t="str">
        <f t="shared" si="7"/>
        <v/>
      </c>
      <c r="D77" s="46" t="str">
        <f t="shared" si="8"/>
        <v/>
      </c>
      <c r="E77" s="47" t="str">
        <f t="shared" si="0"/>
        <v/>
      </c>
      <c r="F77" s="47" t="str">
        <f t="shared" si="1"/>
        <v/>
      </c>
      <c r="G77" s="48" t="str">
        <f t="shared" si="2"/>
        <v/>
      </c>
      <c r="H77" s="49" t="str">
        <f t="shared" si="3"/>
        <v/>
      </c>
      <c r="I77" s="50" t="str">
        <f t="shared" si="4"/>
        <v/>
      </c>
      <c r="J77" s="51" t="str">
        <f t="shared" si="9"/>
        <v/>
      </c>
      <c r="K77" s="2">
        <f t="shared" si="10"/>
        <v>1</v>
      </c>
      <c r="L77" s="2">
        <f t="shared" si="5"/>
        <v>1</v>
      </c>
      <c r="O77" s="2" t="str">
        <f t="shared" si="6"/>
        <v/>
      </c>
    </row>
    <row r="78">
      <c r="A78" s="2">
        <v>55</v>
      </c>
      <c r="C78" s="45" t="str">
        <f t="shared" si="7"/>
        <v/>
      </c>
      <c r="D78" s="46" t="str">
        <f t="shared" si="8"/>
        <v/>
      </c>
      <c r="E78" s="47" t="str">
        <f t="shared" si="0"/>
        <v/>
      </c>
      <c r="F78" s="47" t="str">
        <f t="shared" si="1"/>
        <v/>
      </c>
      <c r="G78" s="48" t="str">
        <f t="shared" si="2"/>
        <v/>
      </c>
      <c r="H78" s="49" t="str">
        <f t="shared" si="3"/>
        <v/>
      </c>
      <c r="I78" s="50" t="str">
        <f t="shared" si="4"/>
        <v/>
      </c>
      <c r="J78" s="51" t="str">
        <f t="shared" si="9"/>
        <v/>
      </c>
      <c r="K78" s="2">
        <f t="shared" si="10"/>
        <v>1</v>
      </c>
      <c r="L78" s="2">
        <f t="shared" si="5"/>
        <v>1</v>
      </c>
      <c r="O78" s="2" t="str">
        <f t="shared" si="6"/>
        <v/>
      </c>
    </row>
    <row r="79">
      <c r="A79" s="2">
        <v>56</v>
      </c>
      <c r="C79" s="45" t="str">
        <f t="shared" si="7"/>
        <v/>
      </c>
      <c r="D79" s="46" t="str">
        <f t="shared" si="8"/>
        <v/>
      </c>
      <c r="E79" s="47" t="str">
        <f t="shared" si="0"/>
        <v/>
      </c>
      <c r="F79" s="47" t="str">
        <f t="shared" si="1"/>
        <v/>
      </c>
      <c r="G79" s="48" t="str">
        <f t="shared" si="2"/>
        <v/>
      </c>
      <c r="H79" s="49" t="str">
        <f t="shared" si="3"/>
        <v/>
      </c>
      <c r="I79" s="50" t="str">
        <f t="shared" si="4"/>
        <v/>
      </c>
      <c r="J79" s="51" t="str">
        <f t="shared" si="9"/>
        <v/>
      </c>
      <c r="K79" s="2">
        <f t="shared" si="10"/>
        <v>1</v>
      </c>
      <c r="L79" s="2">
        <f t="shared" si="5"/>
        <v>1</v>
      </c>
      <c r="O79" s="2" t="str">
        <f t="shared" si="6"/>
        <v/>
      </c>
    </row>
    <row r="80">
      <c r="A80" s="2">
        <v>57</v>
      </c>
      <c r="C80" s="45" t="str">
        <f t="shared" si="7"/>
        <v/>
      </c>
      <c r="D80" s="46" t="str">
        <f t="shared" si="8"/>
        <v/>
      </c>
      <c r="E80" s="47" t="str">
        <f t="shared" si="0"/>
        <v/>
      </c>
      <c r="F80" s="47" t="str">
        <f t="shared" si="1"/>
        <v/>
      </c>
      <c r="G80" s="48" t="str">
        <f t="shared" si="2"/>
        <v/>
      </c>
      <c r="H80" s="49" t="str">
        <f t="shared" si="3"/>
        <v/>
      </c>
      <c r="I80" s="50" t="str">
        <f t="shared" si="4"/>
        <v/>
      </c>
      <c r="J80" s="51" t="str">
        <f t="shared" si="9"/>
        <v/>
      </c>
      <c r="K80" s="2">
        <f t="shared" si="10"/>
        <v>1</v>
      </c>
      <c r="L80" s="2">
        <f t="shared" si="5"/>
        <v>1</v>
      </c>
      <c r="O80" s="2" t="str">
        <f t="shared" si="6"/>
        <v/>
      </c>
    </row>
    <row r="81">
      <c r="A81" s="2">
        <v>58</v>
      </c>
      <c r="C81" s="45" t="str">
        <f t="shared" si="7"/>
        <v/>
      </c>
      <c r="D81" s="46" t="str">
        <f t="shared" si="8"/>
        <v/>
      </c>
      <c r="E81" s="47" t="str">
        <f t="shared" si="0"/>
        <v/>
      </c>
      <c r="F81" s="47" t="str">
        <f t="shared" si="1"/>
        <v/>
      </c>
      <c r="G81" s="48" t="str">
        <f t="shared" si="2"/>
        <v/>
      </c>
      <c r="H81" s="49" t="str">
        <f t="shared" si="3"/>
        <v/>
      </c>
      <c r="I81" s="50" t="str">
        <f t="shared" si="4"/>
        <v/>
      </c>
      <c r="J81" s="51" t="str">
        <f t="shared" si="9"/>
        <v/>
      </c>
      <c r="K81" s="2">
        <f t="shared" si="10"/>
        <v>1</v>
      </c>
      <c r="L81" s="2">
        <f t="shared" si="5"/>
        <v>1</v>
      </c>
      <c r="O81" s="2" t="str">
        <f t="shared" si="6"/>
        <v/>
      </c>
    </row>
    <row r="82">
      <c r="A82" s="2">
        <v>59</v>
      </c>
      <c r="C82" s="45" t="str">
        <f t="shared" si="7"/>
        <v/>
      </c>
      <c r="D82" s="46" t="str">
        <f t="shared" si="8"/>
        <v/>
      </c>
      <c r="E82" s="47" t="str">
        <f t="shared" si="0"/>
        <v/>
      </c>
      <c r="F82" s="47" t="str">
        <f t="shared" si="1"/>
        <v/>
      </c>
      <c r="G82" s="48" t="str">
        <f t="shared" si="2"/>
        <v/>
      </c>
      <c r="H82" s="49" t="str">
        <f t="shared" si="3"/>
        <v/>
      </c>
      <c r="I82" s="50" t="str">
        <f t="shared" si="4"/>
        <v/>
      </c>
      <c r="J82" s="51" t="str">
        <f t="shared" si="9"/>
        <v/>
      </c>
      <c r="K82" s="2">
        <f t="shared" si="10"/>
        <v>1</v>
      </c>
      <c r="L82" s="2">
        <f t="shared" si="5"/>
        <v>1</v>
      </c>
      <c r="O82" s="2" t="str">
        <f t="shared" si="6"/>
        <v/>
      </c>
    </row>
    <row r="83">
      <c r="A83" s="2">
        <v>60</v>
      </c>
      <c r="C83" s="45" t="str">
        <f t="shared" si="7"/>
        <v/>
      </c>
      <c r="D83" s="46" t="str">
        <f t="shared" si="8"/>
        <v/>
      </c>
      <c r="E83" s="47" t="str">
        <f t="shared" si="0"/>
        <v/>
      </c>
      <c r="F83" s="47" t="str">
        <f t="shared" si="1"/>
        <v/>
      </c>
      <c r="G83" s="48" t="str">
        <f t="shared" si="2"/>
        <v/>
      </c>
      <c r="H83" s="49" t="str">
        <f t="shared" si="3"/>
        <v/>
      </c>
      <c r="I83" s="50" t="str">
        <f t="shared" si="4"/>
        <v/>
      </c>
      <c r="J83" s="51" t="str">
        <f t="shared" si="9"/>
        <v/>
      </c>
      <c r="K83" s="2">
        <f t="shared" si="10"/>
        <v>1</v>
      </c>
      <c r="L83" s="2">
        <f t="shared" si="5"/>
        <v>1</v>
      </c>
      <c r="O83" s="2" t="str">
        <f t="shared" si="6"/>
        <v/>
      </c>
    </row>
    <row r="84">
      <c r="A84" s="2">
        <v>61</v>
      </c>
      <c r="C84" s="45" t="str">
        <f t="shared" si="7"/>
        <v/>
      </c>
      <c r="D84" s="46" t="str">
        <f t="shared" si="8"/>
        <v/>
      </c>
      <c r="E84" s="47" t="str">
        <f t="shared" si="0"/>
        <v/>
      </c>
      <c r="F84" s="47" t="str">
        <f t="shared" si="1"/>
        <v/>
      </c>
      <c r="G84" s="48" t="str">
        <f t="shared" si="2"/>
        <v/>
      </c>
      <c r="H84" s="49" t="str">
        <f t="shared" si="3"/>
        <v/>
      </c>
      <c r="I84" s="50" t="str">
        <f t="shared" si="4"/>
        <v/>
      </c>
      <c r="J84" s="51" t="str">
        <f t="shared" si="9"/>
        <v/>
      </c>
      <c r="K84" s="2">
        <f t="shared" si="10"/>
        <v>1</v>
      </c>
      <c r="L84" s="2">
        <f t="shared" si="5"/>
        <v>1</v>
      </c>
      <c r="O84" s="2" t="str">
        <f t="shared" si="6"/>
        <v/>
      </c>
    </row>
    <row r="85">
      <c r="A85" s="2">
        <v>62</v>
      </c>
      <c r="C85" s="45" t="str">
        <f t="shared" si="7"/>
        <v/>
      </c>
      <c r="D85" s="46" t="str">
        <f t="shared" si="8"/>
        <v/>
      </c>
      <c r="E85" s="47" t="str">
        <f t="shared" si="0"/>
        <v/>
      </c>
      <c r="F85" s="47" t="str">
        <f t="shared" si="1"/>
        <v/>
      </c>
      <c r="G85" s="48" t="str">
        <f t="shared" si="2"/>
        <v/>
      </c>
      <c r="H85" s="49" t="str">
        <f t="shared" si="3"/>
        <v/>
      </c>
      <c r="I85" s="50" t="str">
        <f t="shared" si="4"/>
        <v/>
      </c>
      <c r="J85" s="51" t="str">
        <f t="shared" si="9"/>
        <v/>
      </c>
      <c r="K85" s="2">
        <f t="shared" si="10"/>
        <v>1</v>
      </c>
      <c r="L85" s="2">
        <f t="shared" si="5"/>
        <v>1</v>
      </c>
      <c r="O85" s="2" t="str">
        <f t="shared" si="6"/>
        <v/>
      </c>
    </row>
    <row r="86">
      <c r="A86" s="2">
        <v>63</v>
      </c>
      <c r="C86" s="45" t="str">
        <f t="shared" si="7"/>
        <v/>
      </c>
      <c r="D86" s="46" t="str">
        <f t="shared" si="8"/>
        <v/>
      </c>
      <c r="E86" s="47" t="str">
        <f t="shared" si="0"/>
        <v/>
      </c>
      <c r="F86" s="47" t="str">
        <f t="shared" si="1"/>
        <v/>
      </c>
      <c r="G86" s="48" t="str">
        <f t="shared" si="2"/>
        <v/>
      </c>
      <c r="H86" s="49" t="str">
        <f t="shared" si="3"/>
        <v/>
      </c>
      <c r="I86" s="50" t="str">
        <f t="shared" si="4"/>
        <v/>
      </c>
      <c r="J86" s="51" t="str">
        <f t="shared" si="9"/>
        <v/>
      </c>
      <c r="K86" s="2">
        <f t="shared" si="10"/>
        <v>1</v>
      </c>
      <c r="L86" s="2">
        <f t="shared" si="5"/>
        <v>1</v>
      </c>
      <c r="O86" s="2" t="str">
        <f t="shared" si="6"/>
        <v/>
      </c>
    </row>
    <row r="87">
      <c r="A87" s="2">
        <v>64</v>
      </c>
      <c r="C87" s="45" t="str">
        <f t="shared" si="7"/>
        <v/>
      </c>
      <c r="D87" s="46" t="str">
        <f t="shared" si="8"/>
        <v/>
      </c>
      <c r="E87" s="47" t="str">
        <f t="shared" si="0"/>
        <v/>
      </c>
      <c r="F87" s="47" t="str">
        <f t="shared" si="1"/>
        <v/>
      </c>
      <c r="G87" s="48" t="str">
        <f t="shared" si="2"/>
        <v/>
      </c>
      <c r="H87" s="49" t="str">
        <f t="shared" si="3"/>
        <v/>
      </c>
      <c r="I87" s="50" t="str">
        <f t="shared" si="4"/>
        <v/>
      </c>
      <c r="J87" s="51" t="str">
        <f t="shared" si="9"/>
        <v/>
      </c>
      <c r="K87" s="2">
        <f t="shared" si="10"/>
        <v>1</v>
      </c>
      <c r="L87" s="2">
        <f t="shared" si="5"/>
        <v>1</v>
      </c>
      <c r="O87" s="2" t="str">
        <f t="shared" si="6"/>
        <v/>
      </c>
    </row>
    <row r="88">
      <c r="A88" s="2">
        <v>65</v>
      </c>
      <c r="C88" s="45" t="str">
        <f t="shared" si="7"/>
        <v/>
      </c>
      <c r="D88" s="46" t="str">
        <f t="shared" si="8"/>
        <v/>
      </c>
      <c r="E88" s="47" t="str">
        <f t="shared" ref="E88:E123" si="11">IFERROR(IF(D88&lt;&gt;"",IF(ROUND(D88/100*$E$21,0)&lt;$E$16,$E$16,ROUND(D88/100*$E$21,0)),""),"")</f>
        <v/>
      </c>
      <c r="F88" s="47" t="str">
        <f t="shared" ref="F88:F123" si="12">IFERROR(IF(D88&lt;&gt;"",IF(ROUND(D88/100*$G$21,0)&lt;($E$16*$F$14),$E$16*$F$14,ROUND(D88/100*$G$21,0)),""),"")</f>
        <v/>
      </c>
      <c r="G88" s="48" t="str">
        <f t="shared" ref="G88:G123" si="13">IFERROR(IF(F88&lt;&gt;"",F88*5,""),"")</f>
        <v/>
      </c>
      <c r="H88" s="49" t="str">
        <f t="shared" ref="H88:H124" si="14">IFERROR(IF(D88&lt;&gt;"",D88-G88,""),"")</f>
        <v/>
      </c>
      <c r="I88" s="50" t="str">
        <f t="shared" ref="I88:I123" si="15">IF(H88&lt;&gt;"",100%-H88/$E$20,"")</f>
        <v/>
      </c>
      <c r="J88" s="51" t="str">
        <f t="shared" si="9"/>
        <v/>
      </c>
      <c r="K88" s="2">
        <f t="shared" si="10"/>
        <v>1</v>
      </c>
      <c r="L88" s="2">
        <f t="shared" ref="L88:L123" si="16">IF(K87=1,1,"")</f>
        <v>1</v>
      </c>
      <c r="O88" s="2" t="str">
        <f t="shared" ref="O88:O151" si="17">IF(E88&lt;&gt;"",IF(G88&gt;D88,D88/E88,G88/E88),"")</f>
        <v/>
      </c>
    </row>
    <row r="89">
      <c r="A89" s="2">
        <v>66</v>
      </c>
      <c r="C89" s="45" t="str">
        <f t="shared" ref="C89:C123" si="18">IFERROR(IF(K88=1,"",CONCATENATE("Semana"," ",A89)),"")</f>
        <v/>
      </c>
      <c r="D89" s="46" t="str">
        <f t="shared" ref="D89:D123" si="19">IFERROR(IF(K88=1,"",H88),"")</f>
        <v/>
      </c>
      <c r="E89" s="47" t="str">
        <f t="shared" si="11"/>
        <v/>
      </c>
      <c r="F89" s="47" t="str">
        <f t="shared" si="12"/>
        <v/>
      </c>
      <c r="G89" s="48" t="str">
        <f t="shared" si="13"/>
        <v/>
      </c>
      <c r="H89" s="49" t="str">
        <f t="shared" si="14"/>
        <v/>
      </c>
      <c r="I89" s="50" t="str">
        <f t="shared" si="15"/>
        <v/>
      </c>
      <c r="J89" s="51" t="str">
        <f t="shared" ref="J89:J123" si="20">IFERROR(IF(L89=1,"",IF(K89=1,"&lt;&lt; AQUI VOCÊ PARA POR FALTA DE CAPITAL","")),"")</f>
        <v/>
      </c>
      <c r="K89" s="2">
        <f t="shared" ref="K89:K123" si="21">IFERROR(IF(K88=1,1,IF(E89&lt;=$E$22,IF(E89*5&lt;=H89,"",1),"")),"")</f>
        <v>1</v>
      </c>
      <c r="L89" s="2">
        <f t="shared" si="16"/>
        <v>1</v>
      </c>
      <c r="O89" s="2" t="str">
        <f t="shared" si="17"/>
        <v/>
      </c>
    </row>
    <row r="90">
      <c r="A90" s="2">
        <v>67</v>
      </c>
      <c r="C90" s="45" t="str">
        <f t="shared" si="18"/>
        <v/>
      </c>
      <c r="D90" s="46" t="str">
        <f t="shared" si="19"/>
        <v/>
      </c>
      <c r="E90" s="47" t="str">
        <f t="shared" si="11"/>
        <v/>
      </c>
      <c r="F90" s="47" t="str">
        <f t="shared" si="12"/>
        <v/>
      </c>
      <c r="G90" s="48" t="str">
        <f t="shared" si="13"/>
        <v/>
      </c>
      <c r="H90" s="49" t="str">
        <f t="shared" si="14"/>
        <v/>
      </c>
      <c r="I90" s="50" t="str">
        <f t="shared" si="15"/>
        <v/>
      </c>
      <c r="J90" s="51" t="str">
        <f t="shared" si="20"/>
        <v/>
      </c>
      <c r="K90" s="2">
        <f t="shared" si="21"/>
        <v>1</v>
      </c>
      <c r="L90" s="2">
        <f t="shared" si="16"/>
        <v>1</v>
      </c>
      <c r="O90" s="2" t="str">
        <f t="shared" si="17"/>
        <v/>
      </c>
    </row>
    <row r="91">
      <c r="A91" s="2">
        <v>68</v>
      </c>
      <c r="C91" s="45" t="str">
        <f t="shared" si="18"/>
        <v/>
      </c>
      <c r="D91" s="46" t="str">
        <f t="shared" si="19"/>
        <v/>
      </c>
      <c r="E91" s="47" t="str">
        <f t="shared" si="11"/>
        <v/>
      </c>
      <c r="F91" s="47" t="str">
        <f t="shared" si="12"/>
        <v/>
      </c>
      <c r="G91" s="48" t="str">
        <f t="shared" si="13"/>
        <v/>
      </c>
      <c r="H91" s="49" t="str">
        <f t="shared" si="14"/>
        <v/>
      </c>
      <c r="I91" s="50" t="str">
        <f t="shared" si="15"/>
        <v/>
      </c>
      <c r="J91" s="51" t="str">
        <f t="shared" si="20"/>
        <v/>
      </c>
      <c r="K91" s="2">
        <f t="shared" si="21"/>
        <v>1</v>
      </c>
      <c r="L91" s="2">
        <f t="shared" si="16"/>
        <v>1</v>
      </c>
      <c r="O91" s="2" t="str">
        <f t="shared" si="17"/>
        <v/>
      </c>
    </row>
    <row r="92">
      <c r="A92" s="2">
        <v>69</v>
      </c>
      <c r="C92" s="45" t="str">
        <f t="shared" si="18"/>
        <v/>
      </c>
      <c r="D92" s="46" t="str">
        <f t="shared" si="19"/>
        <v/>
      </c>
      <c r="E92" s="47" t="str">
        <f t="shared" si="11"/>
        <v/>
      </c>
      <c r="F92" s="47" t="str">
        <f t="shared" si="12"/>
        <v/>
      </c>
      <c r="G92" s="48" t="str">
        <f t="shared" si="13"/>
        <v/>
      </c>
      <c r="H92" s="49" t="str">
        <f t="shared" si="14"/>
        <v/>
      </c>
      <c r="I92" s="50" t="str">
        <f t="shared" si="15"/>
        <v/>
      </c>
      <c r="J92" s="51" t="str">
        <f t="shared" si="20"/>
        <v/>
      </c>
      <c r="K92" s="2">
        <f t="shared" si="21"/>
        <v>1</v>
      </c>
      <c r="L92" s="2">
        <f t="shared" si="16"/>
        <v>1</v>
      </c>
      <c r="O92" s="2" t="str">
        <f t="shared" si="17"/>
        <v/>
      </c>
    </row>
    <row r="93">
      <c r="A93" s="2">
        <v>70</v>
      </c>
      <c r="C93" s="45" t="str">
        <f t="shared" si="18"/>
        <v/>
      </c>
      <c r="D93" s="46" t="str">
        <f t="shared" si="19"/>
        <v/>
      </c>
      <c r="E93" s="47" t="str">
        <f t="shared" si="11"/>
        <v/>
      </c>
      <c r="F93" s="47" t="str">
        <f t="shared" si="12"/>
        <v/>
      </c>
      <c r="G93" s="48" t="str">
        <f t="shared" si="13"/>
        <v/>
      </c>
      <c r="H93" s="49" t="str">
        <f t="shared" si="14"/>
        <v/>
      </c>
      <c r="I93" s="50" t="str">
        <f t="shared" si="15"/>
        <v/>
      </c>
      <c r="J93" s="51" t="str">
        <f t="shared" si="20"/>
        <v/>
      </c>
      <c r="K93" s="2">
        <f t="shared" si="21"/>
        <v>1</v>
      </c>
      <c r="L93" s="2">
        <f t="shared" si="16"/>
        <v>1</v>
      </c>
      <c r="O93" s="2" t="str">
        <f t="shared" si="17"/>
        <v/>
      </c>
    </row>
    <row r="94">
      <c r="A94" s="2">
        <v>71</v>
      </c>
      <c r="C94" s="45" t="str">
        <f t="shared" si="18"/>
        <v/>
      </c>
      <c r="D94" s="46" t="str">
        <f t="shared" si="19"/>
        <v/>
      </c>
      <c r="E94" s="47" t="str">
        <f t="shared" si="11"/>
        <v/>
      </c>
      <c r="F94" s="47" t="str">
        <f t="shared" si="12"/>
        <v/>
      </c>
      <c r="G94" s="48" t="str">
        <f t="shared" si="13"/>
        <v/>
      </c>
      <c r="H94" s="49" t="str">
        <f t="shared" si="14"/>
        <v/>
      </c>
      <c r="I94" s="50" t="str">
        <f t="shared" si="15"/>
        <v/>
      </c>
      <c r="J94" s="51" t="str">
        <f t="shared" si="20"/>
        <v/>
      </c>
      <c r="K94" s="2">
        <f t="shared" si="21"/>
        <v>1</v>
      </c>
      <c r="L94" s="2">
        <f t="shared" si="16"/>
        <v>1</v>
      </c>
      <c r="O94" s="2" t="str">
        <f t="shared" si="17"/>
        <v/>
      </c>
    </row>
    <row r="95">
      <c r="A95" s="2">
        <v>72</v>
      </c>
      <c r="C95" s="45" t="str">
        <f t="shared" si="18"/>
        <v/>
      </c>
      <c r="D95" s="46" t="str">
        <f t="shared" si="19"/>
        <v/>
      </c>
      <c r="E95" s="47" t="str">
        <f t="shared" si="11"/>
        <v/>
      </c>
      <c r="F95" s="47" t="str">
        <f t="shared" si="12"/>
        <v/>
      </c>
      <c r="G95" s="48" t="str">
        <f t="shared" si="13"/>
        <v/>
      </c>
      <c r="H95" s="49" t="str">
        <f t="shared" si="14"/>
        <v/>
      </c>
      <c r="I95" s="50" t="str">
        <f t="shared" si="15"/>
        <v/>
      </c>
      <c r="J95" s="51" t="str">
        <f t="shared" si="20"/>
        <v/>
      </c>
      <c r="K95" s="2">
        <f t="shared" si="21"/>
        <v>1</v>
      </c>
      <c r="L95" s="2">
        <f t="shared" si="16"/>
        <v>1</v>
      </c>
      <c r="O95" s="2" t="str">
        <f t="shared" si="17"/>
        <v/>
      </c>
    </row>
    <row r="96">
      <c r="A96" s="2">
        <v>73</v>
      </c>
      <c r="C96" s="45" t="str">
        <f t="shared" si="18"/>
        <v/>
      </c>
      <c r="D96" s="46" t="str">
        <f t="shared" si="19"/>
        <v/>
      </c>
      <c r="E96" s="47" t="str">
        <f t="shared" si="11"/>
        <v/>
      </c>
      <c r="F96" s="47" t="str">
        <f t="shared" si="12"/>
        <v/>
      </c>
      <c r="G96" s="48" t="str">
        <f t="shared" si="13"/>
        <v/>
      </c>
      <c r="H96" s="49" t="str">
        <f t="shared" si="14"/>
        <v/>
      </c>
      <c r="I96" s="50" t="str">
        <f t="shared" si="15"/>
        <v/>
      </c>
      <c r="J96" s="51" t="str">
        <f t="shared" si="20"/>
        <v/>
      </c>
      <c r="K96" s="2">
        <f t="shared" si="21"/>
        <v>1</v>
      </c>
      <c r="L96" s="2">
        <f t="shared" si="16"/>
        <v>1</v>
      </c>
      <c r="O96" s="2" t="str">
        <f t="shared" si="17"/>
        <v/>
      </c>
    </row>
    <row r="97">
      <c r="A97" s="2">
        <v>74</v>
      </c>
      <c r="C97" s="45" t="str">
        <f t="shared" si="18"/>
        <v/>
      </c>
      <c r="D97" s="46" t="str">
        <f t="shared" si="19"/>
        <v/>
      </c>
      <c r="E97" s="47" t="str">
        <f t="shared" si="11"/>
        <v/>
      </c>
      <c r="F97" s="47" t="str">
        <f t="shared" si="12"/>
        <v/>
      </c>
      <c r="G97" s="48" t="str">
        <f t="shared" si="13"/>
        <v/>
      </c>
      <c r="H97" s="49" t="str">
        <f t="shared" si="14"/>
        <v/>
      </c>
      <c r="I97" s="50" t="str">
        <f t="shared" si="15"/>
        <v/>
      </c>
      <c r="J97" s="51" t="str">
        <f t="shared" si="20"/>
        <v/>
      </c>
      <c r="K97" s="2">
        <f t="shared" si="21"/>
        <v>1</v>
      </c>
      <c r="L97" s="2">
        <f t="shared" si="16"/>
        <v>1</v>
      </c>
      <c r="O97" s="2" t="str">
        <f t="shared" si="17"/>
        <v/>
      </c>
    </row>
    <row r="98">
      <c r="A98" s="2">
        <v>75</v>
      </c>
      <c r="C98" s="45" t="str">
        <f t="shared" si="18"/>
        <v/>
      </c>
      <c r="D98" s="46" t="str">
        <f t="shared" si="19"/>
        <v/>
      </c>
      <c r="E98" s="47" t="str">
        <f t="shared" si="11"/>
        <v/>
      </c>
      <c r="F98" s="47" t="str">
        <f t="shared" si="12"/>
        <v/>
      </c>
      <c r="G98" s="48" t="str">
        <f t="shared" si="13"/>
        <v/>
      </c>
      <c r="H98" s="49" t="str">
        <f t="shared" si="14"/>
        <v/>
      </c>
      <c r="I98" s="50" t="str">
        <f t="shared" si="15"/>
        <v/>
      </c>
      <c r="J98" s="51" t="str">
        <f t="shared" si="20"/>
        <v/>
      </c>
      <c r="K98" s="2">
        <f t="shared" si="21"/>
        <v>1</v>
      </c>
      <c r="L98" s="2">
        <f t="shared" si="16"/>
        <v>1</v>
      </c>
      <c r="O98" s="2" t="str">
        <f t="shared" si="17"/>
        <v/>
      </c>
    </row>
    <row r="99">
      <c r="A99" s="2">
        <v>76</v>
      </c>
      <c r="C99" s="45" t="str">
        <f t="shared" si="18"/>
        <v/>
      </c>
      <c r="D99" s="46" t="str">
        <f t="shared" si="19"/>
        <v/>
      </c>
      <c r="E99" s="47" t="str">
        <f t="shared" si="11"/>
        <v/>
      </c>
      <c r="F99" s="47" t="str">
        <f t="shared" si="12"/>
        <v/>
      </c>
      <c r="G99" s="48" t="str">
        <f t="shared" si="13"/>
        <v/>
      </c>
      <c r="H99" s="49" t="str">
        <f t="shared" si="14"/>
        <v/>
      </c>
      <c r="I99" s="50" t="str">
        <f t="shared" si="15"/>
        <v/>
      </c>
      <c r="J99" s="51" t="str">
        <f t="shared" si="20"/>
        <v/>
      </c>
      <c r="K99" s="2">
        <f t="shared" si="21"/>
        <v>1</v>
      </c>
      <c r="L99" s="2">
        <f t="shared" si="16"/>
        <v>1</v>
      </c>
      <c r="O99" s="2" t="str">
        <f t="shared" si="17"/>
        <v/>
      </c>
    </row>
    <row r="100">
      <c r="A100" s="2">
        <v>77</v>
      </c>
      <c r="C100" s="45" t="str">
        <f t="shared" si="18"/>
        <v/>
      </c>
      <c r="D100" s="46" t="str">
        <f t="shared" si="19"/>
        <v/>
      </c>
      <c r="E100" s="47" t="str">
        <f t="shared" si="11"/>
        <v/>
      </c>
      <c r="F100" s="47" t="str">
        <f t="shared" si="12"/>
        <v/>
      </c>
      <c r="G100" s="48" t="str">
        <f t="shared" si="13"/>
        <v/>
      </c>
      <c r="H100" s="49" t="str">
        <f t="shared" si="14"/>
        <v/>
      </c>
      <c r="I100" s="50" t="str">
        <f t="shared" si="15"/>
        <v/>
      </c>
      <c r="J100" s="51" t="str">
        <f t="shared" si="20"/>
        <v/>
      </c>
      <c r="K100" s="2">
        <f t="shared" si="21"/>
        <v>1</v>
      </c>
      <c r="L100" s="2">
        <f t="shared" si="16"/>
        <v>1</v>
      </c>
      <c r="O100" s="2" t="str">
        <f t="shared" si="17"/>
        <v/>
      </c>
    </row>
    <row r="101">
      <c r="A101" s="2">
        <v>78</v>
      </c>
      <c r="C101" s="45" t="str">
        <f t="shared" si="18"/>
        <v/>
      </c>
      <c r="D101" s="46" t="str">
        <f t="shared" si="19"/>
        <v/>
      </c>
      <c r="E101" s="47" t="str">
        <f t="shared" si="11"/>
        <v/>
      </c>
      <c r="F101" s="47" t="str">
        <f t="shared" si="12"/>
        <v/>
      </c>
      <c r="G101" s="48" t="str">
        <f t="shared" si="13"/>
        <v/>
      </c>
      <c r="H101" s="49" t="str">
        <f t="shared" si="14"/>
        <v/>
      </c>
      <c r="I101" s="50" t="str">
        <f t="shared" si="15"/>
        <v/>
      </c>
      <c r="J101" s="51" t="str">
        <f t="shared" si="20"/>
        <v/>
      </c>
      <c r="K101" s="2">
        <f t="shared" si="21"/>
        <v>1</v>
      </c>
      <c r="L101" s="2">
        <f t="shared" si="16"/>
        <v>1</v>
      </c>
      <c r="O101" s="2" t="str">
        <f t="shared" si="17"/>
        <v/>
      </c>
    </row>
    <row r="102">
      <c r="A102" s="2">
        <v>79</v>
      </c>
      <c r="C102" s="45" t="str">
        <f t="shared" si="18"/>
        <v/>
      </c>
      <c r="D102" s="46" t="str">
        <f t="shared" si="19"/>
        <v/>
      </c>
      <c r="E102" s="47" t="str">
        <f t="shared" si="11"/>
        <v/>
      </c>
      <c r="F102" s="47" t="str">
        <f t="shared" si="12"/>
        <v/>
      </c>
      <c r="G102" s="48" t="str">
        <f t="shared" si="13"/>
        <v/>
      </c>
      <c r="H102" s="49" t="str">
        <f t="shared" si="14"/>
        <v/>
      </c>
      <c r="I102" s="50" t="str">
        <f t="shared" si="15"/>
        <v/>
      </c>
      <c r="J102" s="51" t="str">
        <f t="shared" si="20"/>
        <v/>
      </c>
      <c r="K102" s="2">
        <f t="shared" si="21"/>
        <v>1</v>
      </c>
      <c r="L102" s="2">
        <f t="shared" si="16"/>
        <v>1</v>
      </c>
      <c r="O102" s="2" t="str">
        <f t="shared" si="17"/>
        <v/>
      </c>
    </row>
    <row r="103">
      <c r="A103" s="2">
        <v>80</v>
      </c>
      <c r="C103" s="45" t="str">
        <f t="shared" si="18"/>
        <v/>
      </c>
      <c r="D103" s="46" t="str">
        <f t="shared" si="19"/>
        <v/>
      </c>
      <c r="E103" s="47" t="str">
        <f t="shared" si="11"/>
        <v/>
      </c>
      <c r="F103" s="47" t="str">
        <f t="shared" si="12"/>
        <v/>
      </c>
      <c r="G103" s="48" t="str">
        <f t="shared" si="13"/>
        <v/>
      </c>
      <c r="H103" s="49" t="str">
        <f t="shared" si="14"/>
        <v/>
      </c>
      <c r="I103" s="50" t="str">
        <f t="shared" si="15"/>
        <v/>
      </c>
      <c r="J103" s="51" t="str">
        <f t="shared" si="20"/>
        <v/>
      </c>
      <c r="K103" s="2">
        <f t="shared" si="21"/>
        <v>1</v>
      </c>
      <c r="L103" s="2">
        <f t="shared" si="16"/>
        <v>1</v>
      </c>
      <c r="O103" s="2" t="str">
        <f t="shared" si="17"/>
        <v/>
      </c>
    </row>
    <row r="104">
      <c r="A104" s="2">
        <v>81</v>
      </c>
      <c r="C104" s="45" t="str">
        <f t="shared" si="18"/>
        <v/>
      </c>
      <c r="D104" s="46" t="str">
        <f t="shared" si="19"/>
        <v/>
      </c>
      <c r="E104" s="47" t="str">
        <f t="shared" si="11"/>
        <v/>
      </c>
      <c r="F104" s="47" t="str">
        <f t="shared" si="12"/>
        <v/>
      </c>
      <c r="G104" s="48" t="str">
        <f t="shared" si="13"/>
        <v/>
      </c>
      <c r="H104" s="49" t="str">
        <f t="shared" si="14"/>
        <v/>
      </c>
      <c r="I104" s="50" t="str">
        <f t="shared" si="15"/>
        <v/>
      </c>
      <c r="J104" s="51" t="str">
        <f t="shared" si="20"/>
        <v/>
      </c>
      <c r="K104" s="2">
        <f t="shared" si="21"/>
        <v>1</v>
      </c>
      <c r="L104" s="2">
        <f t="shared" si="16"/>
        <v>1</v>
      </c>
      <c r="O104" s="2" t="str">
        <f t="shared" si="17"/>
        <v/>
      </c>
    </row>
    <row r="105">
      <c r="A105" s="2">
        <v>82</v>
      </c>
      <c r="C105" s="45" t="str">
        <f t="shared" si="18"/>
        <v/>
      </c>
      <c r="D105" s="46" t="str">
        <f t="shared" si="19"/>
        <v/>
      </c>
      <c r="E105" s="47" t="str">
        <f t="shared" si="11"/>
        <v/>
      </c>
      <c r="F105" s="47" t="str">
        <f t="shared" si="12"/>
        <v/>
      </c>
      <c r="G105" s="48" t="str">
        <f t="shared" si="13"/>
        <v/>
      </c>
      <c r="H105" s="49" t="str">
        <f t="shared" si="14"/>
        <v/>
      </c>
      <c r="I105" s="50" t="str">
        <f t="shared" si="15"/>
        <v/>
      </c>
      <c r="J105" s="51" t="str">
        <f t="shared" si="20"/>
        <v/>
      </c>
      <c r="K105" s="2">
        <f t="shared" si="21"/>
        <v>1</v>
      </c>
      <c r="L105" s="2">
        <f t="shared" si="16"/>
        <v>1</v>
      </c>
      <c r="O105" s="2" t="str">
        <f t="shared" si="17"/>
        <v/>
      </c>
    </row>
    <row r="106">
      <c r="A106" s="2">
        <v>83</v>
      </c>
      <c r="C106" s="45" t="str">
        <f t="shared" si="18"/>
        <v/>
      </c>
      <c r="D106" s="46" t="str">
        <f t="shared" si="19"/>
        <v/>
      </c>
      <c r="E106" s="47" t="str">
        <f t="shared" si="11"/>
        <v/>
      </c>
      <c r="F106" s="47" t="str">
        <f t="shared" si="12"/>
        <v/>
      </c>
      <c r="G106" s="48" t="str">
        <f t="shared" si="13"/>
        <v/>
      </c>
      <c r="H106" s="49" t="str">
        <f t="shared" si="14"/>
        <v/>
      </c>
      <c r="I106" s="50" t="str">
        <f t="shared" si="15"/>
        <v/>
      </c>
      <c r="J106" s="51" t="str">
        <f t="shared" si="20"/>
        <v/>
      </c>
      <c r="K106" s="2">
        <f t="shared" si="21"/>
        <v>1</v>
      </c>
      <c r="L106" s="2">
        <f t="shared" si="16"/>
        <v>1</v>
      </c>
      <c r="O106" s="2" t="str">
        <f t="shared" si="17"/>
        <v/>
      </c>
    </row>
    <row r="107">
      <c r="A107" s="2">
        <v>84</v>
      </c>
      <c r="C107" s="45" t="str">
        <f t="shared" si="18"/>
        <v/>
      </c>
      <c r="D107" s="46" t="str">
        <f t="shared" si="19"/>
        <v/>
      </c>
      <c r="E107" s="47" t="str">
        <f t="shared" si="11"/>
        <v/>
      </c>
      <c r="F107" s="47" t="str">
        <f t="shared" si="12"/>
        <v/>
      </c>
      <c r="G107" s="48" t="str">
        <f t="shared" si="13"/>
        <v/>
      </c>
      <c r="H107" s="49" t="str">
        <f t="shared" si="14"/>
        <v/>
      </c>
      <c r="I107" s="50" t="str">
        <f t="shared" si="15"/>
        <v/>
      </c>
      <c r="J107" s="51" t="str">
        <f t="shared" si="20"/>
        <v/>
      </c>
      <c r="K107" s="2">
        <f t="shared" si="21"/>
        <v>1</v>
      </c>
      <c r="L107" s="2">
        <f t="shared" si="16"/>
        <v>1</v>
      </c>
      <c r="O107" s="2" t="str">
        <f t="shared" si="17"/>
        <v/>
      </c>
    </row>
    <row r="108">
      <c r="A108" s="2">
        <v>85</v>
      </c>
      <c r="C108" s="45" t="str">
        <f t="shared" si="18"/>
        <v/>
      </c>
      <c r="D108" s="46" t="str">
        <f t="shared" si="19"/>
        <v/>
      </c>
      <c r="E108" s="47" t="str">
        <f t="shared" si="11"/>
        <v/>
      </c>
      <c r="F108" s="47" t="str">
        <f t="shared" si="12"/>
        <v/>
      </c>
      <c r="G108" s="48" t="str">
        <f t="shared" si="13"/>
        <v/>
      </c>
      <c r="H108" s="49" t="str">
        <f t="shared" si="14"/>
        <v/>
      </c>
      <c r="I108" s="50" t="str">
        <f t="shared" si="15"/>
        <v/>
      </c>
      <c r="J108" s="51" t="str">
        <f t="shared" si="20"/>
        <v/>
      </c>
      <c r="K108" s="2">
        <f t="shared" si="21"/>
        <v>1</v>
      </c>
      <c r="L108" s="2">
        <f t="shared" si="16"/>
        <v>1</v>
      </c>
      <c r="O108" s="2" t="str">
        <f t="shared" si="17"/>
        <v/>
      </c>
    </row>
    <row r="109">
      <c r="A109" s="2">
        <v>86</v>
      </c>
      <c r="C109" s="45" t="str">
        <f t="shared" si="18"/>
        <v/>
      </c>
      <c r="D109" s="46" t="str">
        <f t="shared" si="19"/>
        <v/>
      </c>
      <c r="E109" s="47" t="str">
        <f t="shared" si="11"/>
        <v/>
      </c>
      <c r="F109" s="47" t="str">
        <f t="shared" si="12"/>
        <v/>
      </c>
      <c r="G109" s="48" t="str">
        <f t="shared" si="13"/>
        <v/>
      </c>
      <c r="H109" s="49" t="str">
        <f t="shared" si="14"/>
        <v/>
      </c>
      <c r="I109" s="50" t="str">
        <f t="shared" si="15"/>
        <v/>
      </c>
      <c r="J109" s="51" t="str">
        <f t="shared" si="20"/>
        <v/>
      </c>
      <c r="K109" s="2">
        <f t="shared" si="21"/>
        <v>1</v>
      </c>
      <c r="L109" s="2">
        <f t="shared" si="16"/>
        <v>1</v>
      </c>
      <c r="O109" s="2" t="str">
        <f t="shared" si="17"/>
        <v/>
      </c>
    </row>
    <row r="110">
      <c r="A110" s="2">
        <v>87</v>
      </c>
      <c r="C110" s="45" t="str">
        <f t="shared" si="18"/>
        <v/>
      </c>
      <c r="D110" s="46" t="str">
        <f t="shared" si="19"/>
        <v/>
      </c>
      <c r="E110" s="47" t="str">
        <f t="shared" si="11"/>
        <v/>
      </c>
      <c r="F110" s="47" t="str">
        <f t="shared" si="12"/>
        <v/>
      </c>
      <c r="G110" s="48" t="str">
        <f t="shared" si="13"/>
        <v/>
      </c>
      <c r="H110" s="49" t="str">
        <f t="shared" si="14"/>
        <v/>
      </c>
      <c r="I110" s="50" t="str">
        <f t="shared" si="15"/>
        <v/>
      </c>
      <c r="J110" s="51" t="str">
        <f t="shared" si="20"/>
        <v/>
      </c>
      <c r="K110" s="2">
        <f t="shared" si="21"/>
        <v>1</v>
      </c>
      <c r="L110" s="2">
        <f t="shared" si="16"/>
        <v>1</v>
      </c>
      <c r="O110" s="2" t="str">
        <f t="shared" si="17"/>
        <v/>
      </c>
    </row>
    <row r="111">
      <c r="A111" s="2">
        <v>88</v>
      </c>
      <c r="C111" s="45" t="str">
        <f t="shared" si="18"/>
        <v/>
      </c>
      <c r="D111" s="46" t="str">
        <f t="shared" si="19"/>
        <v/>
      </c>
      <c r="E111" s="47" t="str">
        <f t="shared" si="11"/>
        <v/>
      </c>
      <c r="F111" s="47" t="str">
        <f t="shared" si="12"/>
        <v/>
      </c>
      <c r="G111" s="48" t="str">
        <f t="shared" si="13"/>
        <v/>
      </c>
      <c r="H111" s="49" t="str">
        <f t="shared" si="14"/>
        <v/>
      </c>
      <c r="I111" s="50" t="str">
        <f t="shared" si="15"/>
        <v/>
      </c>
      <c r="J111" s="51" t="str">
        <f t="shared" si="20"/>
        <v/>
      </c>
      <c r="K111" s="2">
        <f t="shared" si="21"/>
        <v>1</v>
      </c>
      <c r="L111" s="2">
        <f t="shared" si="16"/>
        <v>1</v>
      </c>
      <c r="O111" s="2" t="str">
        <f t="shared" si="17"/>
        <v/>
      </c>
    </row>
    <row r="112">
      <c r="A112" s="2">
        <v>89</v>
      </c>
      <c r="C112" s="45" t="str">
        <f t="shared" si="18"/>
        <v/>
      </c>
      <c r="D112" s="46" t="str">
        <f t="shared" si="19"/>
        <v/>
      </c>
      <c r="E112" s="47" t="str">
        <f t="shared" si="11"/>
        <v/>
      </c>
      <c r="F112" s="47" t="str">
        <f t="shared" si="12"/>
        <v/>
      </c>
      <c r="G112" s="48" t="str">
        <f t="shared" si="13"/>
        <v/>
      </c>
      <c r="H112" s="49" t="str">
        <f t="shared" si="14"/>
        <v/>
      </c>
      <c r="I112" s="50" t="str">
        <f t="shared" si="15"/>
        <v/>
      </c>
      <c r="J112" s="51" t="str">
        <f t="shared" si="20"/>
        <v/>
      </c>
      <c r="K112" s="2">
        <f t="shared" si="21"/>
        <v>1</v>
      </c>
      <c r="L112" s="2">
        <f t="shared" si="16"/>
        <v>1</v>
      </c>
      <c r="O112" s="2" t="str">
        <f t="shared" si="17"/>
        <v/>
      </c>
    </row>
    <row r="113">
      <c r="A113" s="2">
        <v>90</v>
      </c>
      <c r="C113" s="45" t="str">
        <f t="shared" si="18"/>
        <v/>
      </c>
      <c r="D113" s="46" t="str">
        <f t="shared" si="19"/>
        <v/>
      </c>
      <c r="E113" s="47" t="str">
        <f t="shared" si="11"/>
        <v/>
      </c>
      <c r="F113" s="47" t="str">
        <f t="shared" si="12"/>
        <v/>
      </c>
      <c r="G113" s="48" t="str">
        <f t="shared" si="13"/>
        <v/>
      </c>
      <c r="H113" s="49" t="str">
        <f t="shared" si="14"/>
        <v/>
      </c>
      <c r="I113" s="50" t="str">
        <f t="shared" si="15"/>
        <v/>
      </c>
      <c r="J113" s="51" t="str">
        <f t="shared" si="20"/>
        <v/>
      </c>
      <c r="K113" s="2">
        <f t="shared" si="21"/>
        <v>1</v>
      </c>
      <c r="L113" s="2">
        <f t="shared" si="16"/>
        <v>1</v>
      </c>
      <c r="O113" s="2" t="str">
        <f t="shared" si="17"/>
        <v/>
      </c>
    </row>
    <row r="114">
      <c r="A114" s="2">
        <v>91</v>
      </c>
      <c r="C114" s="45" t="str">
        <f t="shared" si="18"/>
        <v/>
      </c>
      <c r="D114" s="46" t="str">
        <f t="shared" si="19"/>
        <v/>
      </c>
      <c r="E114" s="47" t="str">
        <f t="shared" si="11"/>
        <v/>
      </c>
      <c r="F114" s="47" t="str">
        <f t="shared" si="12"/>
        <v/>
      </c>
      <c r="G114" s="48" t="str">
        <f t="shared" si="13"/>
        <v/>
      </c>
      <c r="H114" s="49" t="str">
        <f t="shared" si="14"/>
        <v/>
      </c>
      <c r="I114" s="50" t="str">
        <f t="shared" si="15"/>
        <v/>
      </c>
      <c r="J114" s="51" t="str">
        <f t="shared" si="20"/>
        <v/>
      </c>
      <c r="K114" s="2">
        <f t="shared" si="21"/>
        <v>1</v>
      </c>
      <c r="L114" s="2">
        <f t="shared" si="16"/>
        <v>1</v>
      </c>
      <c r="O114" s="2" t="str">
        <f t="shared" si="17"/>
        <v/>
      </c>
    </row>
    <row r="115">
      <c r="A115" s="2">
        <v>92</v>
      </c>
      <c r="C115" s="45" t="str">
        <f t="shared" si="18"/>
        <v/>
      </c>
      <c r="D115" s="46" t="str">
        <f t="shared" si="19"/>
        <v/>
      </c>
      <c r="E115" s="47" t="str">
        <f t="shared" si="11"/>
        <v/>
      </c>
      <c r="F115" s="47" t="str">
        <f t="shared" si="12"/>
        <v/>
      </c>
      <c r="G115" s="48" t="str">
        <f t="shared" si="13"/>
        <v/>
      </c>
      <c r="H115" s="49" t="str">
        <f t="shared" si="14"/>
        <v/>
      </c>
      <c r="I115" s="50" t="str">
        <f t="shared" si="15"/>
        <v/>
      </c>
      <c r="J115" s="51" t="str">
        <f t="shared" si="20"/>
        <v/>
      </c>
      <c r="K115" s="2">
        <f t="shared" si="21"/>
        <v>1</v>
      </c>
      <c r="L115" s="2">
        <f t="shared" si="16"/>
        <v>1</v>
      </c>
      <c r="O115" s="2" t="str">
        <f t="shared" si="17"/>
        <v/>
      </c>
    </row>
    <row r="116">
      <c r="A116" s="2">
        <v>93</v>
      </c>
      <c r="C116" s="45" t="str">
        <f t="shared" si="18"/>
        <v/>
      </c>
      <c r="D116" s="46" t="str">
        <f t="shared" si="19"/>
        <v/>
      </c>
      <c r="E116" s="47" t="str">
        <f t="shared" si="11"/>
        <v/>
      </c>
      <c r="F116" s="47" t="str">
        <f t="shared" si="12"/>
        <v/>
      </c>
      <c r="G116" s="48" t="str">
        <f t="shared" si="13"/>
        <v/>
      </c>
      <c r="H116" s="49" t="str">
        <f t="shared" si="14"/>
        <v/>
      </c>
      <c r="I116" s="50" t="str">
        <f t="shared" si="15"/>
        <v/>
      </c>
      <c r="J116" s="51" t="str">
        <f t="shared" si="20"/>
        <v/>
      </c>
      <c r="K116" s="2">
        <f t="shared" si="21"/>
        <v>1</v>
      </c>
      <c r="L116" s="2">
        <f t="shared" si="16"/>
        <v>1</v>
      </c>
      <c r="O116" s="2" t="str">
        <f t="shared" si="17"/>
        <v/>
      </c>
    </row>
    <row r="117">
      <c r="A117" s="2">
        <v>94</v>
      </c>
      <c r="C117" s="45" t="str">
        <f t="shared" si="18"/>
        <v/>
      </c>
      <c r="D117" s="46" t="str">
        <f t="shared" si="19"/>
        <v/>
      </c>
      <c r="E117" s="47" t="str">
        <f t="shared" si="11"/>
        <v/>
      </c>
      <c r="F117" s="47" t="str">
        <f t="shared" si="12"/>
        <v/>
      </c>
      <c r="G117" s="48" t="str">
        <f t="shared" si="13"/>
        <v/>
      </c>
      <c r="H117" s="49" t="str">
        <f t="shared" si="14"/>
        <v/>
      </c>
      <c r="I117" s="50" t="str">
        <f t="shared" si="15"/>
        <v/>
      </c>
      <c r="J117" s="51" t="str">
        <f t="shared" si="20"/>
        <v/>
      </c>
      <c r="K117" s="2">
        <f t="shared" si="21"/>
        <v>1</v>
      </c>
      <c r="L117" s="2">
        <f t="shared" si="16"/>
        <v>1</v>
      </c>
      <c r="O117" s="2" t="str">
        <f t="shared" si="17"/>
        <v/>
      </c>
    </row>
    <row r="118">
      <c r="A118" s="2">
        <v>95</v>
      </c>
      <c r="C118" s="45" t="str">
        <f t="shared" si="18"/>
        <v/>
      </c>
      <c r="D118" s="46" t="str">
        <f t="shared" si="19"/>
        <v/>
      </c>
      <c r="E118" s="47" t="str">
        <f t="shared" si="11"/>
        <v/>
      </c>
      <c r="F118" s="47" t="str">
        <f t="shared" si="12"/>
        <v/>
      </c>
      <c r="G118" s="48" t="str">
        <f t="shared" si="13"/>
        <v/>
      </c>
      <c r="H118" s="49" t="str">
        <f t="shared" si="14"/>
        <v/>
      </c>
      <c r="I118" s="50" t="str">
        <f t="shared" si="15"/>
        <v/>
      </c>
      <c r="J118" s="51" t="str">
        <f t="shared" si="20"/>
        <v/>
      </c>
      <c r="K118" s="2">
        <f t="shared" si="21"/>
        <v>1</v>
      </c>
      <c r="L118" s="2">
        <f t="shared" si="16"/>
        <v>1</v>
      </c>
      <c r="O118" s="2" t="str">
        <f t="shared" si="17"/>
        <v/>
      </c>
    </row>
    <row r="119">
      <c r="A119" s="2">
        <v>96</v>
      </c>
      <c r="C119" s="45" t="str">
        <f t="shared" si="18"/>
        <v/>
      </c>
      <c r="D119" s="46" t="str">
        <f t="shared" si="19"/>
        <v/>
      </c>
      <c r="E119" s="47" t="str">
        <f t="shared" si="11"/>
        <v/>
      </c>
      <c r="F119" s="47" t="str">
        <f t="shared" si="12"/>
        <v/>
      </c>
      <c r="G119" s="48" t="str">
        <f t="shared" si="13"/>
        <v/>
      </c>
      <c r="H119" s="49" t="str">
        <f t="shared" si="14"/>
        <v/>
      </c>
      <c r="I119" s="50" t="str">
        <f t="shared" si="15"/>
        <v/>
      </c>
      <c r="J119" s="51" t="str">
        <f t="shared" si="20"/>
        <v/>
      </c>
      <c r="K119" s="2">
        <f t="shared" si="21"/>
        <v>1</v>
      </c>
      <c r="L119" s="2">
        <f t="shared" si="16"/>
        <v>1</v>
      </c>
      <c r="O119" s="2" t="str">
        <f t="shared" si="17"/>
        <v/>
      </c>
    </row>
    <row r="120">
      <c r="A120" s="2">
        <v>97</v>
      </c>
      <c r="C120" s="45" t="str">
        <f t="shared" si="18"/>
        <v/>
      </c>
      <c r="D120" s="46" t="str">
        <f t="shared" si="19"/>
        <v/>
      </c>
      <c r="E120" s="47" t="str">
        <f t="shared" si="11"/>
        <v/>
      </c>
      <c r="F120" s="47" t="str">
        <f t="shared" si="12"/>
        <v/>
      </c>
      <c r="G120" s="48" t="str">
        <f t="shared" si="13"/>
        <v/>
      </c>
      <c r="H120" s="49" t="str">
        <f t="shared" si="14"/>
        <v/>
      </c>
      <c r="I120" s="50" t="str">
        <f t="shared" si="15"/>
        <v/>
      </c>
      <c r="J120" s="51" t="str">
        <f t="shared" si="20"/>
        <v/>
      </c>
      <c r="K120" s="2">
        <f t="shared" si="21"/>
        <v>1</v>
      </c>
      <c r="L120" s="2">
        <f t="shared" si="16"/>
        <v>1</v>
      </c>
      <c r="O120" s="2" t="str">
        <f t="shared" si="17"/>
        <v/>
      </c>
    </row>
    <row r="121">
      <c r="A121" s="2">
        <v>98</v>
      </c>
      <c r="C121" s="45" t="str">
        <f t="shared" si="18"/>
        <v/>
      </c>
      <c r="D121" s="46" t="str">
        <f t="shared" si="19"/>
        <v/>
      </c>
      <c r="E121" s="47" t="str">
        <f t="shared" si="11"/>
        <v/>
      </c>
      <c r="F121" s="47" t="str">
        <f t="shared" si="12"/>
        <v/>
      </c>
      <c r="G121" s="48" t="str">
        <f t="shared" si="13"/>
        <v/>
      </c>
      <c r="H121" s="49" t="str">
        <f t="shared" si="14"/>
        <v/>
      </c>
      <c r="I121" s="50" t="str">
        <f t="shared" si="15"/>
        <v/>
      </c>
      <c r="J121" s="51" t="str">
        <f t="shared" si="20"/>
        <v/>
      </c>
      <c r="K121" s="2">
        <f t="shared" si="21"/>
        <v>1</v>
      </c>
      <c r="L121" s="2">
        <f t="shared" si="16"/>
        <v>1</v>
      </c>
      <c r="O121" s="2" t="str">
        <f t="shared" si="17"/>
        <v/>
      </c>
    </row>
    <row r="122">
      <c r="A122" s="2">
        <v>99</v>
      </c>
      <c r="C122" s="45" t="str">
        <f t="shared" si="18"/>
        <v/>
      </c>
      <c r="D122" s="46" t="str">
        <f t="shared" si="19"/>
        <v/>
      </c>
      <c r="E122" s="47" t="str">
        <f t="shared" si="11"/>
        <v/>
      </c>
      <c r="F122" s="47" t="str">
        <f t="shared" si="12"/>
        <v/>
      </c>
      <c r="G122" s="48" t="str">
        <f t="shared" si="13"/>
        <v/>
      </c>
      <c r="H122" s="49" t="str">
        <f t="shared" si="14"/>
        <v/>
      </c>
      <c r="I122" s="50" t="str">
        <f t="shared" si="15"/>
        <v/>
      </c>
      <c r="J122" s="51" t="str">
        <f t="shared" si="20"/>
        <v/>
      </c>
      <c r="K122" s="2">
        <f t="shared" si="21"/>
        <v>1</v>
      </c>
      <c r="L122" s="2">
        <f t="shared" si="16"/>
        <v>1</v>
      </c>
      <c r="O122" s="2" t="str">
        <f t="shared" si="17"/>
        <v/>
      </c>
    </row>
    <row r="123">
      <c r="A123" s="2">
        <v>100</v>
      </c>
      <c r="C123" s="45" t="str">
        <f t="shared" si="18"/>
        <v/>
      </c>
      <c r="D123" s="46" t="str">
        <f t="shared" si="19"/>
        <v/>
      </c>
      <c r="E123" s="47" t="str">
        <f t="shared" si="11"/>
        <v/>
      </c>
      <c r="F123" s="47" t="str">
        <f t="shared" si="12"/>
        <v/>
      </c>
      <c r="G123" s="48" t="str">
        <f t="shared" si="13"/>
        <v/>
      </c>
      <c r="H123" s="49" t="str">
        <f t="shared" si="14"/>
        <v/>
      </c>
      <c r="I123" s="50" t="str">
        <f t="shared" si="15"/>
        <v/>
      </c>
      <c r="J123" s="51" t="str">
        <f t="shared" si="20"/>
        <v/>
      </c>
      <c r="K123" s="2">
        <f t="shared" si="21"/>
        <v>1</v>
      </c>
      <c r="L123" s="2">
        <f t="shared" si="16"/>
        <v>1</v>
      </c>
      <c r="O123" s="2" t="str">
        <f t="shared" si="17"/>
        <v/>
      </c>
    </row>
    <row r="124" s="1" customFormat="1">
      <c r="A124" s="2">
        <v>101</v>
      </c>
      <c r="E124" s="52" t="str">
        <f>IF(D124&lt;&gt;"",IF(ROUND(D124/100*$E$21,0)&lt;$E$16,$E$16,ROUND(D124/100*$E$21,0)),"")</f>
        <v/>
      </c>
      <c r="H124" s="52" t="str">
        <f t="shared" si="14"/>
        <v/>
      </c>
      <c r="K124" s="2"/>
      <c r="L124" s="2"/>
      <c r="M124" s="2"/>
      <c r="N124" s="2"/>
      <c r="O124" s="2" t="str">
        <f t="shared" si="17"/>
        <v/>
      </c>
      <c r="P124" s="2"/>
      <c r="Q124" s="3"/>
      <c r="R124" s="3"/>
    </row>
    <row r="125" s="1" customFormat="1">
      <c r="A125" s="2">
        <v>102</v>
      </c>
      <c r="K125" s="2"/>
      <c r="L125" s="2"/>
      <c r="M125" s="2"/>
      <c r="N125" s="2"/>
      <c r="O125" s="2" t="str">
        <f t="shared" si="17"/>
        <v/>
      </c>
      <c r="P125" s="2"/>
      <c r="Q125" s="3"/>
      <c r="R125" s="3"/>
    </row>
    <row r="126" s="1" customFormat="1">
      <c r="A126" s="2">
        <v>103</v>
      </c>
      <c r="K126" s="2"/>
      <c r="L126" s="2"/>
      <c r="M126" s="2"/>
      <c r="N126" s="2"/>
      <c r="O126" s="2" t="str">
        <f t="shared" si="17"/>
        <v/>
      </c>
      <c r="P126" s="2"/>
      <c r="Q126" s="3"/>
      <c r="R126" s="3"/>
    </row>
    <row r="127" s="1" customFormat="1">
      <c r="A127" s="2">
        <v>104</v>
      </c>
      <c r="K127" s="2"/>
      <c r="L127" s="2"/>
      <c r="M127" s="2"/>
      <c r="N127" s="2"/>
      <c r="O127" s="2" t="str">
        <f t="shared" si="17"/>
        <v/>
      </c>
      <c r="P127" s="2"/>
      <c r="Q127" s="3"/>
      <c r="R127" s="3"/>
    </row>
    <row r="128" s="1" customFormat="1">
      <c r="A128" s="2">
        <v>105</v>
      </c>
      <c r="K128" s="2"/>
      <c r="L128" s="2"/>
      <c r="M128" s="2"/>
      <c r="N128" s="2"/>
      <c r="O128" s="2" t="str">
        <f t="shared" si="17"/>
        <v/>
      </c>
      <c r="P128" s="2"/>
      <c r="Q128" s="3"/>
      <c r="R128" s="3"/>
    </row>
    <row r="129" s="1" customFormat="1">
      <c r="A129" s="2">
        <v>106</v>
      </c>
      <c r="K129" s="2"/>
      <c r="L129" s="2"/>
      <c r="M129" s="2"/>
      <c r="N129" s="2"/>
      <c r="O129" s="2" t="str">
        <f t="shared" si="17"/>
        <v/>
      </c>
      <c r="P129" s="2"/>
      <c r="Q129" s="3"/>
      <c r="R129" s="3"/>
    </row>
    <row r="130" s="1" customFormat="1">
      <c r="A130" s="2">
        <v>107</v>
      </c>
      <c r="K130" s="2"/>
      <c r="L130" s="2"/>
      <c r="M130" s="2"/>
      <c r="N130" s="2"/>
      <c r="O130" s="2" t="str">
        <f t="shared" si="17"/>
        <v/>
      </c>
      <c r="P130" s="2"/>
      <c r="Q130" s="3"/>
      <c r="R130" s="3"/>
    </row>
    <row r="131" s="1" customFormat="1">
      <c r="A131" s="2">
        <v>108</v>
      </c>
      <c r="K131" s="2"/>
      <c r="L131" s="2"/>
      <c r="M131" s="2"/>
      <c r="N131" s="2"/>
      <c r="O131" s="2" t="str">
        <f t="shared" si="17"/>
        <v/>
      </c>
      <c r="P131" s="2"/>
      <c r="Q131" s="3"/>
      <c r="R131" s="3"/>
    </row>
    <row r="132" s="1" customFormat="1">
      <c r="A132" s="2">
        <v>109</v>
      </c>
      <c r="K132" s="2"/>
      <c r="L132" s="2"/>
      <c r="M132" s="2"/>
      <c r="N132" s="2"/>
      <c r="O132" s="2" t="str">
        <f t="shared" si="17"/>
        <v/>
      </c>
      <c r="P132" s="2"/>
      <c r="Q132" s="3"/>
      <c r="R132" s="3"/>
    </row>
    <row r="133" s="1" customFormat="1">
      <c r="A133" s="2">
        <v>110</v>
      </c>
      <c r="K133" s="2"/>
      <c r="L133" s="2"/>
      <c r="M133" s="2"/>
      <c r="N133" s="2"/>
      <c r="O133" s="2" t="str">
        <f t="shared" si="17"/>
        <v/>
      </c>
      <c r="P133" s="2"/>
      <c r="Q133" s="3"/>
      <c r="R133" s="3"/>
    </row>
    <row r="134" s="1" customFormat="1">
      <c r="A134" s="2">
        <v>111</v>
      </c>
      <c r="K134" s="2"/>
      <c r="L134" s="2"/>
      <c r="M134" s="2"/>
      <c r="N134" s="2"/>
      <c r="O134" s="2" t="str">
        <f t="shared" si="17"/>
        <v/>
      </c>
      <c r="P134" s="2"/>
      <c r="Q134" s="3"/>
      <c r="R134" s="3"/>
    </row>
    <row r="135" s="1" customFormat="1">
      <c r="A135" s="2">
        <v>112</v>
      </c>
      <c r="K135" s="2"/>
      <c r="L135" s="2"/>
      <c r="M135" s="2"/>
      <c r="N135" s="2"/>
      <c r="O135" s="2" t="str">
        <f t="shared" si="17"/>
        <v/>
      </c>
      <c r="P135" s="2"/>
      <c r="Q135" s="3"/>
      <c r="R135" s="3"/>
    </row>
    <row r="136" s="1" customFormat="1">
      <c r="A136" s="2">
        <v>113</v>
      </c>
      <c r="K136" s="2"/>
      <c r="L136" s="2"/>
      <c r="M136" s="2"/>
      <c r="N136" s="2"/>
      <c r="O136" s="2" t="str">
        <f t="shared" si="17"/>
        <v/>
      </c>
      <c r="P136" s="2"/>
      <c r="Q136" s="3"/>
      <c r="R136" s="3"/>
    </row>
    <row r="137" s="1" customFormat="1">
      <c r="A137" s="2">
        <v>114</v>
      </c>
      <c r="K137" s="2"/>
      <c r="L137" s="2"/>
      <c r="M137" s="2"/>
      <c r="N137" s="2"/>
      <c r="O137" s="2" t="str">
        <f t="shared" si="17"/>
        <v/>
      </c>
      <c r="P137" s="2"/>
      <c r="Q137" s="3"/>
      <c r="R137" s="3"/>
    </row>
    <row r="138" s="1" customFormat="1">
      <c r="A138" s="2">
        <v>115</v>
      </c>
      <c r="K138" s="2"/>
      <c r="L138" s="2"/>
      <c r="M138" s="2"/>
      <c r="N138" s="2"/>
      <c r="O138" s="2" t="str">
        <f t="shared" si="17"/>
        <v/>
      </c>
      <c r="P138" s="2"/>
      <c r="Q138" s="3"/>
      <c r="R138" s="3"/>
    </row>
    <row r="139" s="1" customFormat="1">
      <c r="A139" s="2">
        <v>116</v>
      </c>
      <c r="K139" s="2"/>
      <c r="L139" s="2"/>
      <c r="M139" s="2"/>
      <c r="N139" s="2"/>
      <c r="O139" s="2" t="str">
        <f t="shared" si="17"/>
        <v/>
      </c>
      <c r="P139" s="2"/>
      <c r="Q139" s="3"/>
      <c r="R139" s="3"/>
    </row>
    <row r="140" s="1" customFormat="1">
      <c r="A140" s="2">
        <v>117</v>
      </c>
      <c r="K140" s="2"/>
      <c r="L140" s="2"/>
      <c r="M140" s="2"/>
      <c r="N140" s="2"/>
      <c r="O140" s="2" t="str">
        <f t="shared" si="17"/>
        <v/>
      </c>
      <c r="P140" s="2"/>
      <c r="Q140" s="3"/>
      <c r="R140" s="3"/>
    </row>
    <row r="141" s="1" customFormat="1">
      <c r="A141" s="2">
        <v>118</v>
      </c>
      <c r="K141" s="2"/>
      <c r="L141" s="2"/>
      <c r="M141" s="2"/>
      <c r="N141" s="2"/>
      <c r="O141" s="2" t="str">
        <f t="shared" si="17"/>
        <v/>
      </c>
      <c r="P141" s="2"/>
      <c r="Q141" s="3"/>
      <c r="R141" s="3"/>
    </row>
    <row r="142" s="1" customFormat="1">
      <c r="A142" s="2">
        <v>119</v>
      </c>
      <c r="K142" s="2"/>
      <c r="L142" s="2"/>
      <c r="M142" s="2"/>
      <c r="N142" s="2"/>
      <c r="O142" s="2" t="str">
        <f t="shared" si="17"/>
        <v/>
      </c>
      <c r="P142" s="2"/>
      <c r="Q142" s="3"/>
      <c r="R142" s="3"/>
    </row>
    <row r="143" s="1" customFormat="1">
      <c r="A143" s="2">
        <v>120</v>
      </c>
      <c r="K143" s="2"/>
      <c r="L143" s="2"/>
      <c r="M143" s="2"/>
      <c r="N143" s="2"/>
      <c r="O143" s="2" t="str">
        <f t="shared" si="17"/>
        <v/>
      </c>
      <c r="P143" s="2"/>
      <c r="Q143" s="3"/>
      <c r="R143" s="3"/>
    </row>
    <row r="144" s="1" customFormat="1">
      <c r="A144" s="2">
        <v>121</v>
      </c>
      <c r="K144" s="2"/>
      <c r="L144" s="2"/>
      <c r="M144" s="2"/>
      <c r="N144" s="2"/>
      <c r="O144" s="2" t="str">
        <f t="shared" si="17"/>
        <v/>
      </c>
      <c r="P144" s="2"/>
      <c r="Q144" s="3"/>
      <c r="R144" s="3"/>
    </row>
    <row r="145" s="1" customFormat="1">
      <c r="A145" s="2">
        <v>122</v>
      </c>
      <c r="K145" s="2"/>
      <c r="L145" s="2"/>
      <c r="M145" s="2"/>
      <c r="N145" s="2"/>
      <c r="O145" s="2" t="str">
        <f t="shared" si="17"/>
        <v/>
      </c>
      <c r="P145" s="2"/>
      <c r="Q145" s="3"/>
      <c r="R145" s="3"/>
    </row>
    <row r="146" s="1" customFormat="1">
      <c r="A146" s="2">
        <v>123</v>
      </c>
      <c r="K146" s="2"/>
      <c r="L146" s="2"/>
      <c r="M146" s="2"/>
      <c r="N146" s="2"/>
      <c r="O146" s="2" t="str">
        <f t="shared" si="17"/>
        <v/>
      </c>
      <c r="P146" s="2"/>
      <c r="Q146" s="3"/>
      <c r="R146" s="3"/>
    </row>
    <row r="147" s="1" customFormat="1">
      <c r="A147" s="2">
        <v>124</v>
      </c>
      <c r="K147" s="2"/>
      <c r="L147" s="2"/>
      <c r="M147" s="2"/>
      <c r="N147" s="2"/>
      <c r="O147" s="2" t="str">
        <f t="shared" si="17"/>
        <v/>
      </c>
      <c r="P147" s="2"/>
      <c r="Q147" s="3"/>
      <c r="R147" s="3"/>
    </row>
    <row r="148" s="1" customFormat="1">
      <c r="A148" s="2">
        <v>125</v>
      </c>
      <c r="K148" s="2"/>
      <c r="L148" s="2"/>
      <c r="M148" s="2"/>
      <c r="N148" s="2"/>
      <c r="O148" s="2" t="str">
        <f t="shared" si="17"/>
        <v/>
      </c>
      <c r="P148" s="2"/>
      <c r="Q148" s="3"/>
      <c r="R148" s="3"/>
    </row>
    <row r="149" s="1" customFormat="1">
      <c r="A149" s="2">
        <v>126</v>
      </c>
      <c r="K149" s="2"/>
      <c r="L149" s="2"/>
      <c r="M149" s="2"/>
      <c r="N149" s="2"/>
      <c r="O149" s="2" t="str">
        <f t="shared" si="17"/>
        <v/>
      </c>
      <c r="P149" s="2"/>
      <c r="Q149" s="3"/>
      <c r="R149" s="3"/>
    </row>
    <row r="150" s="1" customFormat="1">
      <c r="A150" s="2">
        <v>127</v>
      </c>
      <c r="K150" s="2"/>
      <c r="L150" s="2"/>
      <c r="M150" s="2"/>
      <c r="N150" s="2"/>
      <c r="O150" s="2" t="str">
        <f t="shared" si="17"/>
        <v/>
      </c>
      <c r="P150" s="2"/>
      <c r="Q150" s="3"/>
      <c r="R150" s="3"/>
    </row>
    <row r="151" s="1" customFormat="1">
      <c r="A151" s="2">
        <v>128</v>
      </c>
      <c r="K151" s="2"/>
      <c r="L151" s="2"/>
      <c r="M151" s="2"/>
      <c r="N151" s="2"/>
      <c r="O151" s="2" t="str">
        <f t="shared" si="17"/>
        <v/>
      </c>
      <c r="P151" s="2"/>
      <c r="Q151" s="3"/>
      <c r="R151" s="3"/>
    </row>
    <row r="152" s="1" customFormat="1">
      <c r="A152" s="2">
        <v>129</v>
      </c>
      <c r="K152" s="2"/>
      <c r="L152" s="2"/>
      <c r="M152" s="2"/>
      <c r="N152" s="2"/>
      <c r="O152" s="2" t="str">
        <f t="shared" ref="O152:O192" si="22">IF(E152&lt;&gt;"",IF(G152&gt;D152,D152/E152,G152/E152),"")</f>
        <v/>
      </c>
      <c r="P152" s="2"/>
      <c r="Q152" s="3"/>
      <c r="R152" s="3"/>
    </row>
    <row r="153" s="1" customFormat="1">
      <c r="A153" s="2">
        <v>130</v>
      </c>
      <c r="K153" s="2"/>
      <c r="L153" s="2"/>
      <c r="M153" s="2"/>
      <c r="N153" s="2"/>
      <c r="O153" s="2" t="str">
        <f t="shared" si="22"/>
        <v/>
      </c>
      <c r="P153" s="2"/>
      <c r="Q153" s="3"/>
      <c r="R153" s="3"/>
    </row>
    <row r="154" s="1" customFormat="1">
      <c r="A154" s="2">
        <v>131</v>
      </c>
      <c r="K154" s="2"/>
      <c r="L154" s="2"/>
      <c r="M154" s="2"/>
      <c r="N154" s="2"/>
      <c r="O154" s="2" t="str">
        <f t="shared" si="22"/>
        <v/>
      </c>
      <c r="P154" s="2"/>
      <c r="Q154" s="3"/>
      <c r="R154" s="3"/>
    </row>
    <row r="155" s="1" customFormat="1">
      <c r="A155" s="2">
        <v>132</v>
      </c>
      <c r="K155" s="2"/>
      <c r="L155" s="2"/>
      <c r="M155" s="2"/>
      <c r="N155" s="2"/>
      <c r="O155" s="2" t="str">
        <f t="shared" si="22"/>
        <v/>
      </c>
      <c r="P155" s="2"/>
      <c r="Q155" s="3"/>
      <c r="R155" s="3"/>
    </row>
    <row r="156" s="1" customFormat="1">
      <c r="A156" s="2">
        <v>133</v>
      </c>
      <c r="K156" s="2"/>
      <c r="L156" s="2"/>
      <c r="M156" s="2"/>
      <c r="N156" s="2"/>
      <c r="O156" s="2" t="str">
        <f t="shared" si="22"/>
        <v/>
      </c>
      <c r="P156" s="2"/>
      <c r="Q156" s="3"/>
      <c r="R156" s="3"/>
    </row>
    <row r="157" s="1" customFormat="1">
      <c r="A157" s="2">
        <v>134</v>
      </c>
      <c r="K157" s="2"/>
      <c r="L157" s="2"/>
      <c r="M157" s="2"/>
      <c r="N157" s="2"/>
      <c r="O157" s="2" t="str">
        <f t="shared" si="22"/>
        <v/>
      </c>
      <c r="P157" s="2"/>
      <c r="Q157" s="3"/>
      <c r="R157" s="3"/>
    </row>
    <row r="158" s="1" customFormat="1">
      <c r="A158" s="2">
        <v>135</v>
      </c>
      <c r="K158" s="2"/>
      <c r="L158" s="2"/>
      <c r="M158" s="2"/>
      <c r="N158" s="2"/>
      <c r="O158" s="2" t="str">
        <f t="shared" si="22"/>
        <v/>
      </c>
      <c r="P158" s="2"/>
      <c r="Q158" s="3"/>
      <c r="R158" s="3"/>
    </row>
    <row r="159" s="1" customFormat="1">
      <c r="A159" s="2">
        <v>136</v>
      </c>
      <c r="K159" s="2"/>
      <c r="L159" s="2"/>
      <c r="M159" s="2"/>
      <c r="N159" s="2"/>
      <c r="O159" s="2" t="str">
        <f t="shared" si="22"/>
        <v/>
      </c>
      <c r="P159" s="2"/>
      <c r="Q159" s="3"/>
      <c r="R159" s="3"/>
    </row>
    <row r="160" s="1" customFormat="1">
      <c r="A160" s="2">
        <v>137</v>
      </c>
      <c r="K160" s="2"/>
      <c r="L160" s="2"/>
      <c r="M160" s="2"/>
      <c r="N160" s="2"/>
      <c r="O160" s="2" t="str">
        <f t="shared" si="22"/>
        <v/>
      </c>
      <c r="P160" s="2"/>
      <c r="Q160" s="3"/>
      <c r="R160" s="3"/>
    </row>
    <row r="161" s="1" customFormat="1">
      <c r="A161" s="2">
        <v>138</v>
      </c>
      <c r="K161" s="2"/>
      <c r="L161" s="2"/>
      <c r="M161" s="2"/>
      <c r="N161" s="2"/>
      <c r="O161" s="2" t="str">
        <f t="shared" si="22"/>
        <v/>
      </c>
      <c r="P161" s="2"/>
      <c r="Q161" s="3"/>
      <c r="R161" s="3"/>
    </row>
    <row r="162" s="1" customFormat="1">
      <c r="A162" s="2">
        <v>139</v>
      </c>
      <c r="K162" s="2"/>
      <c r="L162" s="2"/>
      <c r="M162" s="2"/>
      <c r="N162" s="2"/>
      <c r="O162" s="2" t="str">
        <f t="shared" si="22"/>
        <v/>
      </c>
      <c r="P162" s="2"/>
      <c r="Q162" s="3"/>
      <c r="R162" s="3"/>
    </row>
    <row r="163" s="1" customFormat="1">
      <c r="A163" s="2">
        <v>140</v>
      </c>
      <c r="K163" s="2"/>
      <c r="L163" s="2"/>
      <c r="M163" s="2"/>
      <c r="N163" s="2"/>
      <c r="O163" s="2" t="str">
        <f t="shared" si="22"/>
        <v/>
      </c>
      <c r="P163" s="2"/>
      <c r="Q163" s="3"/>
      <c r="R163" s="3"/>
    </row>
    <row r="164" s="1" customFormat="1">
      <c r="A164" s="2">
        <v>141</v>
      </c>
      <c r="K164" s="2"/>
      <c r="L164" s="2"/>
      <c r="M164" s="2"/>
      <c r="N164" s="2"/>
      <c r="O164" s="2" t="str">
        <f t="shared" si="22"/>
        <v/>
      </c>
      <c r="P164" s="2"/>
      <c r="Q164" s="3"/>
      <c r="R164" s="3"/>
    </row>
    <row r="165" s="1" customFormat="1">
      <c r="A165" s="2">
        <v>142</v>
      </c>
      <c r="K165" s="2"/>
      <c r="L165" s="2"/>
      <c r="M165" s="2"/>
      <c r="N165" s="2"/>
      <c r="O165" s="2" t="str">
        <f t="shared" si="22"/>
        <v/>
      </c>
      <c r="P165" s="2"/>
      <c r="Q165" s="3"/>
      <c r="R165" s="3"/>
    </row>
    <row r="166" s="1" customFormat="1">
      <c r="A166" s="2">
        <v>143</v>
      </c>
      <c r="K166" s="2"/>
      <c r="L166" s="2"/>
      <c r="M166" s="2"/>
      <c r="N166" s="2"/>
      <c r="O166" s="2" t="str">
        <f t="shared" si="22"/>
        <v/>
      </c>
      <c r="P166" s="2"/>
      <c r="Q166" s="3"/>
      <c r="R166" s="3"/>
    </row>
    <row r="167" s="1" customFormat="1">
      <c r="A167" s="2">
        <v>144</v>
      </c>
      <c r="K167" s="2"/>
      <c r="L167" s="2"/>
      <c r="M167" s="2"/>
      <c r="N167" s="2"/>
      <c r="O167" s="2" t="str">
        <f t="shared" si="22"/>
        <v/>
      </c>
      <c r="P167" s="2"/>
      <c r="Q167" s="3"/>
      <c r="R167" s="3"/>
    </row>
    <row r="168" s="1" customFormat="1">
      <c r="A168" s="2">
        <v>145</v>
      </c>
      <c r="K168" s="2"/>
      <c r="L168" s="2"/>
      <c r="M168" s="2"/>
      <c r="N168" s="2"/>
      <c r="O168" s="2" t="str">
        <f t="shared" si="22"/>
        <v/>
      </c>
      <c r="P168" s="2"/>
      <c r="Q168" s="3"/>
      <c r="R168" s="3"/>
    </row>
    <row r="169" s="1" customFormat="1">
      <c r="A169" s="2">
        <v>146</v>
      </c>
      <c r="K169" s="2"/>
      <c r="L169" s="2"/>
      <c r="M169" s="2"/>
      <c r="N169" s="2"/>
      <c r="O169" s="2" t="str">
        <f t="shared" si="22"/>
        <v/>
      </c>
      <c r="P169" s="2"/>
      <c r="Q169" s="3"/>
      <c r="R169" s="3"/>
    </row>
    <row r="170" s="1" customFormat="1">
      <c r="A170" s="2">
        <v>147</v>
      </c>
      <c r="K170" s="2"/>
      <c r="L170" s="2"/>
      <c r="M170" s="2"/>
      <c r="N170" s="2"/>
      <c r="O170" s="2" t="str">
        <f t="shared" si="22"/>
        <v/>
      </c>
      <c r="P170" s="2"/>
      <c r="Q170" s="3"/>
      <c r="R170" s="3"/>
    </row>
    <row r="171" s="1" customFormat="1">
      <c r="A171" s="2">
        <v>148</v>
      </c>
      <c r="K171" s="2"/>
      <c r="L171" s="2"/>
      <c r="M171" s="2"/>
      <c r="N171" s="2"/>
      <c r="O171" s="2" t="str">
        <f t="shared" si="22"/>
        <v/>
      </c>
      <c r="P171" s="2"/>
      <c r="Q171" s="3"/>
      <c r="R171" s="3"/>
    </row>
    <row r="172" s="1" customFormat="1">
      <c r="A172" s="2">
        <v>149</v>
      </c>
      <c r="K172" s="2"/>
      <c r="L172" s="2"/>
      <c r="M172" s="2"/>
      <c r="N172" s="2"/>
      <c r="O172" s="2" t="str">
        <f t="shared" si="22"/>
        <v/>
      </c>
      <c r="P172" s="2"/>
      <c r="Q172" s="3"/>
      <c r="R172" s="3"/>
    </row>
    <row r="173" s="1" customFormat="1">
      <c r="A173" s="2">
        <v>150</v>
      </c>
      <c r="K173" s="2"/>
      <c r="L173" s="2"/>
      <c r="M173" s="2"/>
      <c r="N173" s="2"/>
      <c r="O173" s="2" t="str">
        <f t="shared" si="22"/>
        <v/>
      </c>
      <c r="P173" s="2"/>
      <c r="Q173" s="3"/>
      <c r="R173" s="3"/>
    </row>
    <row r="174" s="1" customFormat="1">
      <c r="A174" s="2">
        <v>151</v>
      </c>
      <c r="K174" s="2"/>
      <c r="L174" s="2"/>
      <c r="M174" s="2"/>
      <c r="N174" s="2"/>
      <c r="O174" s="2" t="str">
        <f t="shared" si="22"/>
        <v/>
      </c>
      <c r="P174" s="2"/>
      <c r="Q174" s="3"/>
      <c r="R174" s="3"/>
    </row>
    <row r="175" s="1" customFormat="1">
      <c r="A175" s="2">
        <v>152</v>
      </c>
      <c r="K175" s="2"/>
      <c r="L175" s="2"/>
      <c r="M175" s="2"/>
      <c r="N175" s="2"/>
      <c r="O175" s="2" t="str">
        <f t="shared" si="22"/>
        <v/>
      </c>
      <c r="P175" s="2"/>
      <c r="Q175" s="3"/>
      <c r="R175" s="3"/>
    </row>
    <row r="176" s="1" customFormat="1">
      <c r="A176" s="2">
        <v>153</v>
      </c>
      <c r="K176" s="2"/>
      <c r="L176" s="2"/>
      <c r="M176" s="2"/>
      <c r="N176" s="2"/>
      <c r="O176" s="2" t="str">
        <f t="shared" si="22"/>
        <v/>
      </c>
      <c r="P176" s="2"/>
      <c r="Q176" s="3"/>
      <c r="R176" s="3"/>
    </row>
    <row r="177" s="1" customFormat="1">
      <c r="K177" s="2"/>
      <c r="L177" s="2"/>
      <c r="M177" s="2"/>
      <c r="N177" s="2"/>
      <c r="O177" s="2" t="str">
        <f t="shared" si="22"/>
        <v/>
      </c>
      <c r="P177" s="2"/>
      <c r="Q177" s="3"/>
      <c r="R177" s="3"/>
    </row>
    <row r="178" s="1" customFormat="1">
      <c r="K178" s="2"/>
      <c r="L178" s="2"/>
      <c r="M178" s="2"/>
      <c r="N178" s="2"/>
      <c r="O178" s="2" t="str">
        <f t="shared" si="22"/>
        <v/>
      </c>
      <c r="P178" s="2"/>
      <c r="Q178" s="3"/>
      <c r="R178" s="3"/>
    </row>
    <row r="179" s="1" customFormat="1">
      <c r="K179" s="2"/>
      <c r="L179" s="2"/>
      <c r="M179" s="2"/>
      <c r="N179" s="2"/>
      <c r="O179" s="2" t="str">
        <f t="shared" si="22"/>
        <v/>
      </c>
      <c r="P179" s="2"/>
      <c r="Q179" s="3"/>
      <c r="R179" s="3"/>
    </row>
    <row r="180" s="1" customFormat="1">
      <c r="K180" s="2"/>
      <c r="L180" s="2"/>
      <c r="M180" s="2"/>
      <c r="N180" s="2"/>
      <c r="O180" s="2" t="str">
        <f t="shared" si="22"/>
        <v/>
      </c>
      <c r="P180" s="2"/>
      <c r="Q180" s="3"/>
      <c r="R180" s="3"/>
    </row>
    <row r="181" s="1" customFormat="1">
      <c r="K181" s="2"/>
      <c r="L181" s="2"/>
      <c r="M181" s="2"/>
      <c r="N181" s="2"/>
      <c r="O181" s="2" t="str">
        <f t="shared" si="22"/>
        <v/>
      </c>
      <c r="P181" s="2"/>
      <c r="Q181" s="3"/>
      <c r="R181" s="3"/>
    </row>
    <row r="182" s="1" customFormat="1">
      <c r="K182" s="2"/>
      <c r="L182" s="2"/>
      <c r="M182" s="2"/>
      <c r="N182" s="2"/>
      <c r="O182" s="2" t="str">
        <f t="shared" si="22"/>
        <v/>
      </c>
      <c r="P182" s="2"/>
      <c r="Q182" s="3"/>
      <c r="R182" s="3"/>
    </row>
    <row r="183" s="1" customFormat="1">
      <c r="K183" s="2"/>
      <c r="L183" s="2"/>
      <c r="M183" s="2"/>
      <c r="N183" s="2"/>
      <c r="O183" s="2" t="str">
        <f t="shared" si="22"/>
        <v/>
      </c>
      <c r="P183" s="2"/>
      <c r="Q183" s="3"/>
      <c r="R183" s="3"/>
    </row>
    <row r="184" s="1" customFormat="1">
      <c r="K184" s="2"/>
      <c r="L184" s="2"/>
      <c r="M184" s="2"/>
      <c r="N184" s="2"/>
      <c r="O184" s="2" t="str">
        <f t="shared" si="22"/>
        <v/>
      </c>
      <c r="P184" s="2"/>
      <c r="Q184" s="3"/>
      <c r="R184" s="3"/>
    </row>
    <row r="185" s="1" customFormat="1">
      <c r="K185" s="2"/>
      <c r="L185" s="2"/>
      <c r="M185" s="2"/>
      <c r="N185" s="2"/>
      <c r="O185" s="2" t="str">
        <f t="shared" si="22"/>
        <v/>
      </c>
      <c r="P185" s="2"/>
      <c r="Q185" s="3"/>
      <c r="R185" s="3"/>
    </row>
    <row r="186" s="1" customFormat="1">
      <c r="K186" s="2"/>
      <c r="L186" s="2"/>
      <c r="M186" s="2"/>
      <c r="N186" s="2"/>
      <c r="O186" s="2" t="str">
        <f t="shared" si="22"/>
        <v/>
      </c>
      <c r="P186" s="2"/>
      <c r="Q186" s="3"/>
      <c r="R186" s="3"/>
    </row>
    <row r="187" s="1" customFormat="1">
      <c r="K187" s="2"/>
      <c r="L187" s="2"/>
      <c r="M187" s="2"/>
      <c r="N187" s="2"/>
      <c r="O187" s="2" t="str">
        <f t="shared" si="22"/>
        <v/>
      </c>
      <c r="P187" s="2"/>
      <c r="Q187" s="3"/>
      <c r="R187" s="3"/>
    </row>
    <row r="188" s="1" customFormat="1">
      <c r="K188" s="2"/>
      <c r="L188" s="2"/>
      <c r="M188" s="2"/>
      <c r="N188" s="2"/>
      <c r="O188" s="2" t="str">
        <f t="shared" si="22"/>
        <v/>
      </c>
      <c r="P188" s="2"/>
      <c r="Q188" s="3"/>
      <c r="R188" s="3"/>
    </row>
    <row r="189" s="1" customFormat="1">
      <c r="K189" s="2"/>
      <c r="L189" s="2"/>
      <c r="M189" s="2"/>
      <c r="N189" s="2"/>
      <c r="O189" s="2" t="str">
        <f t="shared" si="22"/>
        <v/>
      </c>
      <c r="P189" s="2"/>
      <c r="Q189" s="3"/>
      <c r="R189" s="3"/>
    </row>
    <row r="190" s="1" customFormat="1">
      <c r="K190" s="2"/>
      <c r="L190" s="2"/>
      <c r="M190" s="2"/>
      <c r="N190" s="2"/>
      <c r="O190" s="2" t="str">
        <f t="shared" si="22"/>
        <v/>
      </c>
      <c r="P190" s="2"/>
      <c r="Q190" s="3"/>
      <c r="R190" s="3"/>
    </row>
    <row r="191" s="1" customFormat="1">
      <c r="K191" s="2"/>
      <c r="L191" s="2"/>
      <c r="M191" s="2"/>
      <c r="N191" s="2"/>
      <c r="O191" s="2" t="str">
        <f t="shared" si="22"/>
        <v/>
      </c>
      <c r="P191" s="2"/>
      <c r="Q191" s="3"/>
      <c r="R191" s="3"/>
    </row>
    <row r="192" s="1" customFormat="1">
      <c r="K192" s="2"/>
      <c r="L192" s="2"/>
      <c r="M192" s="2"/>
      <c r="N192" s="2"/>
      <c r="O192" s="2" t="str">
        <f t="shared" si="22"/>
        <v/>
      </c>
      <c r="P192" s="2"/>
      <c r="Q192" s="3"/>
      <c r="R192" s="3"/>
    </row>
    <row r="193" s="1" customFormat="1">
      <c r="K193" s="2"/>
      <c r="L193" s="2"/>
      <c r="M193" s="2"/>
      <c r="N193" s="2"/>
      <c r="O193" s="2"/>
      <c r="P193" s="2"/>
      <c r="Q193" s="3"/>
      <c r="R193" s="3"/>
    </row>
    <row r="194" s="1" customFormat="1">
      <c r="K194" s="2"/>
      <c r="L194" s="2"/>
      <c r="M194" s="2"/>
      <c r="N194" s="2"/>
      <c r="O194" s="2"/>
      <c r="P194" s="2"/>
      <c r="Q194" s="3"/>
      <c r="R194" s="3"/>
    </row>
    <row r="195" s="1" customFormat="1">
      <c r="K195" s="2"/>
      <c r="L195" s="2"/>
      <c r="M195" s="2"/>
      <c r="N195" s="2"/>
      <c r="O195" s="2"/>
      <c r="P195" s="2"/>
      <c r="Q195" s="3"/>
      <c r="R195" s="3"/>
    </row>
    <row r="196" s="1" customFormat="1">
      <c r="K196" s="2"/>
      <c r="L196" s="2"/>
      <c r="M196" s="2"/>
      <c r="N196" s="2"/>
      <c r="O196" s="2"/>
      <c r="P196" s="2"/>
      <c r="Q196" s="3"/>
      <c r="R196" s="3"/>
    </row>
    <row r="197" s="1" customFormat="1">
      <c r="K197" s="2"/>
      <c r="L197" s="2"/>
      <c r="M197" s="2"/>
      <c r="N197" s="2"/>
      <c r="O197" s="2"/>
      <c r="P197" s="2"/>
      <c r="Q197" s="3"/>
      <c r="R197" s="3"/>
    </row>
    <row r="198" s="1" customFormat="1">
      <c r="K198" s="2"/>
      <c r="L198" s="2"/>
      <c r="M198" s="2"/>
      <c r="N198" s="2"/>
      <c r="O198" s="2"/>
      <c r="P198" s="2"/>
      <c r="Q198" s="3"/>
      <c r="R198" s="3"/>
    </row>
    <row r="199" s="1" customFormat="1">
      <c r="K199" s="2"/>
      <c r="L199" s="2"/>
      <c r="M199" s="2"/>
      <c r="N199" s="2"/>
      <c r="O199" s="2"/>
      <c r="P199" s="2"/>
      <c r="Q199" s="3"/>
      <c r="R199" s="3"/>
    </row>
    <row r="200" s="1" customFormat="1">
      <c r="K200" s="2"/>
      <c r="L200" s="2"/>
      <c r="M200" s="2"/>
      <c r="N200" s="2"/>
      <c r="O200" s="2"/>
      <c r="P200" s="2"/>
      <c r="Q200" s="3"/>
      <c r="R200" s="3"/>
    </row>
  </sheetData>
  <sheetProtection algorithmName="SHA-512" hashValue="L000COcj+IR8OcpsAAUM1Kj0sj2yK3JH6B7XhsLSc/VxCySW6cWs7VBZ510lAV7uYnSK/w0aKbHTRhDqSt1qgA==" saltValue="LXA76ZiC2tuSvC0T/LyfV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7">
    <mergeCell ref="B10:D10"/>
    <mergeCell ref="B12:D12"/>
    <mergeCell ref="H12:I12"/>
    <mergeCell ref="B14:D14"/>
    <mergeCell ref="H14:I14"/>
    <mergeCell ref="B16:D16"/>
    <mergeCell ref="B17:D17"/>
  </mergeCells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" id="{0090008F-0009-4F07-AF1A-006C007C00D4}">
            <xm:f>$K123=1</xm:f>
            <x14:dxf>
              <fill>
                <patternFill patternType="solid">
                  <fgColor theme="0" tint="-0.049989318521683403"/>
                  <bgColor theme="0" tint="-0.049989318521683403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  <vertical style="none"/>
                <horizontal style="none"/>
              </border>
            </x14:dxf>
          </x14:cfRule>
          <xm:sqref>E124 H124</xm:sqref>
        </x14:conditionalFormatting>
        <x14:conditionalFormatting xmlns:xm="http://schemas.microsoft.com/office/excel/2006/main">
          <x14:cfRule type="expression" priority="2" id="{003E0021-00DB-4CEB-9AB1-00C200B10044}">
            <xm:f>$L24=1</xm:f>
            <x14:dxf>
              <font>
                <color theme="0" tint="-0.049989318521683403"/>
              </font>
              <fill>
                <patternFill patternType="solid">
                  <fgColor theme="0" tint="-0.049989318521683403"/>
                  <bgColor theme="0" tint="-0.049989318521683403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  <vertical style="none"/>
                <horizontal style="none"/>
              </border>
            </x14:dxf>
          </x14:cfRule>
          <xm:sqref>C24:I26</xm:sqref>
        </x14:conditionalFormatting>
        <x14:conditionalFormatting xmlns:xm="http://schemas.microsoft.com/office/excel/2006/main">
          <x14:cfRule type="expression" priority="1" id="{00C30013-0039-4D11-90D4-002700780089}">
            <xm:f>$L28=1</xm:f>
            <x14:dxf>
              <font>
                <color theme="0" tint="-0.049989318521683403"/>
              </font>
              <fill>
                <patternFill patternType="solid">
                  <fgColor theme="0" tint="-0.049989318521683403"/>
                  <bgColor theme="0" tint="-0.049989318521683403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  <vertical style="none"/>
                <horizontal style="none"/>
              </border>
            </x14:dxf>
          </x14:cfRule>
          <xm:sqref>C28:I123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3" activeCellId="0" sqref="G13"/>
    </sheetView>
  </sheetViews>
  <sheetFormatPr defaultRowHeight="15"/>
  <cols>
    <col customWidth="1" min="1" max="1" style="53" width="5.42578125"/>
    <col customWidth="1" min="2" max="2" style="53" width="7.42578125"/>
    <col customWidth="1" min="3" max="3" style="53" width="11"/>
    <col customWidth="1" min="4" max="4" style="53" width="21.140625"/>
    <col customWidth="1" min="5" max="5" style="53" width="15.28515625"/>
    <col customWidth="1" min="6" max="6" style="53" width="18.140625"/>
    <col customWidth="1" min="7" max="7" style="53" width="17.42578125"/>
    <col customWidth="1" min="8" max="8" style="53" width="17.7109375"/>
    <col bestFit="1" customWidth="1" min="9" max="9" style="53" width="10"/>
    <col customWidth="1" min="10" max="10" style="53" width="4.140625"/>
    <col customWidth="1" min="11" max="11" style="53" width="9.85546875"/>
    <col customWidth="1" min="12" max="12" style="53" width="14.140625"/>
    <col min="13" max="13" style="53" width="9.140625"/>
    <col customWidth="1" hidden="1" min="14" max="14" style="53" width="0"/>
    <col customWidth="1" min="15" max="15" style="53" width="5.85546875"/>
    <col min="16" max="16384" style="53" width="9.140625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>
      <c r="B6" s="54"/>
      <c r="E6" s="55"/>
    </row>
    <row r="7" ht="20.25" customHeight="1">
      <c r="D7" s="56" t="s">
        <v>18</v>
      </c>
      <c r="E7" s="55"/>
    </row>
    <row r="8">
      <c r="D8" s="53" t="s">
        <v>7</v>
      </c>
      <c r="E8" s="57">
        <v>20000</v>
      </c>
      <c r="F8" s="58"/>
      <c r="G8" s="59"/>
      <c r="L8" s="60"/>
    </row>
    <row r="9">
      <c r="D9" s="53" t="s">
        <v>8</v>
      </c>
      <c r="E9" s="24">
        <v>2</v>
      </c>
      <c r="F9" s="58" t="s">
        <v>19</v>
      </c>
      <c r="G9" s="24">
        <v>3</v>
      </c>
      <c r="H9" s="61" t="s">
        <v>20</v>
      </c>
      <c r="L9" s="60"/>
    </row>
    <row r="10" ht="24" customHeight="1">
      <c r="D10" s="62" t="s">
        <v>21</v>
      </c>
      <c r="E10" s="63">
        <f>SUM(G12:G99)</f>
        <v>0</v>
      </c>
      <c r="F10" s="64">
        <f>IFERROR(E10/E8,"")</f>
        <v>0</v>
      </c>
      <c r="G10" s="65" t="s">
        <v>22</v>
      </c>
      <c r="H10" s="64">
        <f>IFERROR(F10/COUNT(D12:D99),"")</f>
        <v>0</v>
      </c>
      <c r="L10" s="66"/>
    </row>
    <row r="11" ht="15.75">
      <c r="D11" s="67" t="s">
        <v>11</v>
      </c>
      <c r="E11" s="68" t="s">
        <v>23</v>
      </c>
      <c r="F11" s="68" t="s">
        <v>24</v>
      </c>
      <c r="G11" s="68" t="s">
        <v>25</v>
      </c>
      <c r="H11" s="69" t="s">
        <v>15</v>
      </c>
      <c r="I11" s="70" t="s">
        <v>26</v>
      </c>
      <c r="J11" s="70"/>
      <c r="K11" s="66"/>
      <c r="L11" s="71"/>
    </row>
    <row r="12">
      <c r="C12" s="72" t="s">
        <v>27</v>
      </c>
      <c r="D12" s="47">
        <f>IFERROR(IF(E8&lt;&gt;"",E8,""),"")</f>
        <v>20000</v>
      </c>
      <c r="E12" s="47">
        <f t="shared" ref="E12:E75" si="23">IF(D12&lt;&gt;"",ROUND(D12/100*$E$9,0),"")</f>
        <v>400</v>
      </c>
      <c r="F12" s="47">
        <f t="shared" ref="F12:F75" si="24">IF(D12&lt;&gt;"",E12*$G$9,"")</f>
        <v>1200</v>
      </c>
      <c r="G12" s="73"/>
      <c r="H12" s="49">
        <f>IFERROR(D12+G12,"")</f>
        <v>20000</v>
      </c>
      <c r="I12" s="74">
        <f>IF(D12&lt;&gt;"",(H12-D12)/D12,"")</f>
        <v>0</v>
      </c>
      <c r="J12" s="74"/>
    </row>
    <row r="13">
      <c r="C13" s="72" t="s">
        <v>28</v>
      </c>
      <c r="D13" s="46" t="str">
        <f t="shared" ref="D13:D76" si="25">IFERROR(IF(G12&lt;&gt;"",H12,""),"")</f>
        <v/>
      </c>
      <c r="E13" s="47" t="str">
        <f t="shared" si="23"/>
        <v/>
      </c>
      <c r="F13" s="47" t="str">
        <f t="shared" si="24"/>
        <v/>
      </c>
      <c r="G13" s="75"/>
      <c r="H13" s="49" t="str">
        <f t="shared" ref="H13:H76" si="26">IF(D13&lt;&gt;"",D13+G13,"")</f>
        <v/>
      </c>
      <c r="I13" s="74" t="str">
        <f t="shared" ref="I13:I76" si="27">IF(D13&lt;&gt;"",IF(H13&lt;&gt;"",(H13-D13)/D13,""),"")</f>
        <v/>
      </c>
      <c r="J13" s="74"/>
    </row>
    <row r="14">
      <c r="C14" s="72" t="s">
        <v>29</v>
      </c>
      <c r="D14" s="46" t="str">
        <f t="shared" si="25"/>
        <v/>
      </c>
      <c r="E14" s="47" t="str">
        <f t="shared" si="23"/>
        <v/>
      </c>
      <c r="F14" s="47" t="str">
        <f t="shared" si="24"/>
        <v/>
      </c>
      <c r="G14" s="75"/>
      <c r="H14" s="49" t="str">
        <f t="shared" si="26"/>
        <v/>
      </c>
      <c r="I14" s="74" t="str">
        <f t="shared" si="27"/>
        <v/>
      </c>
      <c r="J14" s="74"/>
    </row>
    <row r="15">
      <c r="C15" s="72" t="s">
        <v>30</v>
      </c>
      <c r="D15" s="46" t="str">
        <f t="shared" si="25"/>
        <v/>
      </c>
      <c r="E15" s="47" t="str">
        <f t="shared" si="23"/>
        <v/>
      </c>
      <c r="F15" s="47" t="str">
        <f t="shared" si="24"/>
        <v/>
      </c>
      <c r="G15" s="75"/>
      <c r="H15" s="49" t="str">
        <f t="shared" si="26"/>
        <v/>
      </c>
      <c r="I15" s="74" t="str">
        <f t="shared" si="27"/>
        <v/>
      </c>
      <c r="J15" s="74"/>
    </row>
    <row r="16">
      <c r="C16" s="72" t="s">
        <v>31</v>
      </c>
      <c r="D16" s="46" t="str">
        <f t="shared" si="25"/>
        <v/>
      </c>
      <c r="E16" s="47" t="str">
        <f t="shared" si="23"/>
        <v/>
      </c>
      <c r="F16" s="47" t="str">
        <f t="shared" si="24"/>
        <v/>
      </c>
      <c r="G16" s="75"/>
      <c r="H16" s="49" t="str">
        <f t="shared" si="26"/>
        <v/>
      </c>
      <c r="I16" s="74" t="str">
        <f t="shared" si="27"/>
        <v/>
      </c>
      <c r="J16" s="74"/>
      <c r="M16" s="54"/>
      <c r="N16" s="54"/>
      <c r="O16" s="54"/>
      <c r="P16" s="54"/>
    </row>
    <row r="17">
      <c r="C17" s="72" t="s">
        <v>32</v>
      </c>
      <c r="D17" s="46" t="str">
        <f t="shared" si="25"/>
        <v/>
      </c>
      <c r="E17" s="47" t="str">
        <f t="shared" si="23"/>
        <v/>
      </c>
      <c r="F17" s="47" t="str">
        <f t="shared" si="24"/>
        <v/>
      </c>
      <c r="G17" s="75"/>
      <c r="H17" s="49" t="str">
        <f t="shared" si="26"/>
        <v/>
      </c>
      <c r="I17" s="74" t="str">
        <f t="shared" si="27"/>
        <v/>
      </c>
      <c r="J17" s="74"/>
      <c r="M17" s="54"/>
      <c r="N17" s="54"/>
      <c r="O17" s="54"/>
      <c r="P17" s="54"/>
    </row>
    <row r="18">
      <c r="C18" s="72" t="s">
        <v>33</v>
      </c>
      <c r="D18" s="46" t="str">
        <f t="shared" si="25"/>
        <v/>
      </c>
      <c r="E18" s="47" t="str">
        <f t="shared" si="23"/>
        <v/>
      </c>
      <c r="F18" s="47" t="str">
        <f t="shared" si="24"/>
        <v/>
      </c>
      <c r="G18" s="75"/>
      <c r="H18" s="49" t="str">
        <f t="shared" si="26"/>
        <v/>
      </c>
      <c r="I18" s="74" t="str">
        <f t="shared" si="27"/>
        <v/>
      </c>
      <c r="J18" s="74"/>
      <c r="M18" s="54"/>
      <c r="N18" s="54"/>
      <c r="O18" s="54"/>
      <c r="P18" s="54"/>
    </row>
    <row r="19">
      <c r="C19" s="72" t="s">
        <v>34</v>
      </c>
      <c r="D19" s="46" t="str">
        <f t="shared" si="25"/>
        <v/>
      </c>
      <c r="E19" s="47" t="str">
        <f t="shared" si="23"/>
        <v/>
      </c>
      <c r="F19" s="47" t="str">
        <f t="shared" si="24"/>
        <v/>
      </c>
      <c r="G19" s="75"/>
      <c r="H19" s="49" t="str">
        <f t="shared" si="26"/>
        <v/>
      </c>
      <c r="I19" s="74" t="str">
        <f t="shared" si="27"/>
        <v/>
      </c>
      <c r="J19" s="74"/>
      <c r="L19" s="54"/>
      <c r="M19" s="54"/>
      <c r="N19" s="54"/>
      <c r="O19" s="54"/>
      <c r="P19" s="54"/>
    </row>
    <row r="20">
      <c r="C20" s="72" t="s">
        <v>35</v>
      </c>
      <c r="D20" s="46" t="str">
        <f t="shared" si="25"/>
        <v/>
      </c>
      <c r="E20" s="47" t="str">
        <f t="shared" si="23"/>
        <v/>
      </c>
      <c r="F20" s="47" t="str">
        <f t="shared" si="24"/>
        <v/>
      </c>
      <c r="G20" s="75"/>
      <c r="H20" s="49" t="str">
        <f t="shared" si="26"/>
        <v/>
      </c>
      <c r="I20" s="74" t="str">
        <f t="shared" si="27"/>
        <v/>
      </c>
      <c r="J20" s="74"/>
      <c r="L20" s="54"/>
      <c r="M20" s="54"/>
      <c r="N20" s="54"/>
      <c r="O20" s="54"/>
      <c r="P20" s="54"/>
    </row>
    <row r="21">
      <c r="C21" s="72" t="s">
        <v>36</v>
      </c>
      <c r="D21" s="46" t="str">
        <f t="shared" si="25"/>
        <v/>
      </c>
      <c r="E21" s="47" t="str">
        <f t="shared" si="23"/>
        <v/>
      </c>
      <c r="F21" s="47" t="str">
        <f t="shared" si="24"/>
        <v/>
      </c>
      <c r="G21" s="75"/>
      <c r="H21" s="49" t="str">
        <f t="shared" si="26"/>
        <v/>
      </c>
      <c r="I21" s="74" t="str">
        <f t="shared" si="27"/>
        <v/>
      </c>
      <c r="J21" s="74"/>
    </row>
    <row r="22">
      <c r="C22" s="72" t="s">
        <v>37</v>
      </c>
      <c r="D22" s="46" t="str">
        <f t="shared" si="25"/>
        <v/>
      </c>
      <c r="E22" s="47" t="str">
        <f t="shared" si="23"/>
        <v/>
      </c>
      <c r="F22" s="47" t="str">
        <f t="shared" si="24"/>
        <v/>
      </c>
      <c r="G22" s="75"/>
      <c r="H22" s="49" t="str">
        <f t="shared" si="26"/>
        <v/>
      </c>
      <c r="I22" s="74" t="str">
        <f t="shared" si="27"/>
        <v/>
      </c>
      <c r="J22" s="74"/>
    </row>
    <row r="23">
      <c r="C23" s="72" t="s">
        <v>38</v>
      </c>
      <c r="D23" s="46" t="str">
        <f t="shared" si="25"/>
        <v/>
      </c>
      <c r="E23" s="47" t="str">
        <f t="shared" si="23"/>
        <v/>
      </c>
      <c r="F23" s="47" t="str">
        <f t="shared" si="24"/>
        <v/>
      </c>
      <c r="G23" s="75"/>
      <c r="H23" s="49" t="str">
        <f t="shared" si="26"/>
        <v/>
      </c>
      <c r="I23" s="74" t="str">
        <f t="shared" si="27"/>
        <v/>
      </c>
      <c r="J23" s="74"/>
    </row>
    <row r="24">
      <c r="C24" s="72" t="s">
        <v>39</v>
      </c>
      <c r="D24" s="46" t="str">
        <f t="shared" si="25"/>
        <v/>
      </c>
      <c r="E24" s="47" t="str">
        <f t="shared" si="23"/>
        <v/>
      </c>
      <c r="F24" s="47" t="str">
        <f t="shared" si="24"/>
        <v/>
      </c>
      <c r="G24" s="75"/>
      <c r="H24" s="49" t="str">
        <f t="shared" si="26"/>
        <v/>
      </c>
      <c r="I24" s="74" t="str">
        <f t="shared" si="27"/>
        <v/>
      </c>
      <c r="J24" s="74"/>
    </row>
    <row r="25">
      <c r="C25" s="72" t="s">
        <v>40</v>
      </c>
      <c r="D25" s="46" t="str">
        <f t="shared" si="25"/>
        <v/>
      </c>
      <c r="E25" s="47" t="str">
        <f t="shared" si="23"/>
        <v/>
      </c>
      <c r="F25" s="47" t="str">
        <f t="shared" si="24"/>
        <v/>
      </c>
      <c r="G25" s="75"/>
      <c r="H25" s="49" t="str">
        <f t="shared" si="26"/>
        <v/>
      </c>
      <c r="I25" s="74" t="str">
        <f t="shared" si="27"/>
        <v/>
      </c>
      <c r="J25" s="74"/>
    </row>
    <row r="26">
      <c r="C26" s="72" t="s">
        <v>41</v>
      </c>
      <c r="D26" s="46" t="str">
        <f t="shared" si="25"/>
        <v/>
      </c>
      <c r="E26" s="47" t="str">
        <f t="shared" si="23"/>
        <v/>
      </c>
      <c r="F26" s="47" t="str">
        <f t="shared" si="24"/>
        <v/>
      </c>
      <c r="G26" s="75"/>
      <c r="H26" s="49" t="str">
        <f t="shared" si="26"/>
        <v/>
      </c>
      <c r="I26" s="74" t="str">
        <f t="shared" si="27"/>
        <v/>
      </c>
      <c r="J26" s="74"/>
    </row>
    <row r="27">
      <c r="C27" s="72" t="s">
        <v>42</v>
      </c>
      <c r="D27" s="46" t="str">
        <f t="shared" si="25"/>
        <v/>
      </c>
      <c r="E27" s="47" t="str">
        <f t="shared" si="23"/>
        <v/>
      </c>
      <c r="F27" s="47" t="str">
        <f t="shared" si="24"/>
        <v/>
      </c>
      <c r="G27" s="75"/>
      <c r="H27" s="49" t="str">
        <f t="shared" si="26"/>
        <v/>
      </c>
      <c r="I27" s="74" t="str">
        <f t="shared" si="27"/>
        <v/>
      </c>
      <c r="J27" s="74"/>
    </row>
    <row r="28">
      <c r="C28" s="72" t="s">
        <v>43</v>
      </c>
      <c r="D28" s="46" t="str">
        <f t="shared" si="25"/>
        <v/>
      </c>
      <c r="E28" s="47" t="str">
        <f t="shared" si="23"/>
        <v/>
      </c>
      <c r="F28" s="47" t="str">
        <f t="shared" si="24"/>
        <v/>
      </c>
      <c r="G28" s="75"/>
      <c r="H28" s="49" t="str">
        <f t="shared" si="26"/>
        <v/>
      </c>
      <c r="I28" s="74" t="str">
        <f t="shared" si="27"/>
        <v/>
      </c>
      <c r="J28" s="74"/>
    </row>
    <row r="29">
      <c r="C29" s="72" t="s">
        <v>44</v>
      </c>
      <c r="D29" s="46" t="str">
        <f t="shared" si="25"/>
        <v/>
      </c>
      <c r="E29" s="47" t="str">
        <f t="shared" si="23"/>
        <v/>
      </c>
      <c r="F29" s="47" t="str">
        <f t="shared" si="24"/>
        <v/>
      </c>
      <c r="G29" s="75"/>
      <c r="H29" s="49" t="str">
        <f t="shared" si="26"/>
        <v/>
      </c>
      <c r="I29" s="74" t="str">
        <f t="shared" si="27"/>
        <v/>
      </c>
      <c r="J29" s="74"/>
    </row>
    <row r="30">
      <c r="C30" s="72" t="s">
        <v>45</v>
      </c>
      <c r="D30" s="46" t="str">
        <f t="shared" si="25"/>
        <v/>
      </c>
      <c r="E30" s="47" t="str">
        <f t="shared" si="23"/>
        <v/>
      </c>
      <c r="F30" s="47" t="str">
        <f t="shared" si="24"/>
        <v/>
      </c>
      <c r="G30" s="75"/>
      <c r="H30" s="49" t="str">
        <f t="shared" si="26"/>
        <v/>
      </c>
      <c r="I30" s="74" t="str">
        <f t="shared" si="27"/>
        <v/>
      </c>
      <c r="J30" s="74"/>
    </row>
    <row r="31">
      <c r="C31" s="72" t="s">
        <v>46</v>
      </c>
      <c r="D31" s="46" t="str">
        <f t="shared" si="25"/>
        <v/>
      </c>
      <c r="E31" s="47" t="str">
        <f t="shared" si="23"/>
        <v/>
      </c>
      <c r="F31" s="47" t="str">
        <f t="shared" si="24"/>
        <v/>
      </c>
      <c r="G31" s="75"/>
      <c r="H31" s="49" t="str">
        <f t="shared" si="26"/>
        <v/>
      </c>
      <c r="I31" s="74" t="str">
        <f t="shared" si="27"/>
        <v/>
      </c>
      <c r="J31" s="74"/>
    </row>
    <row r="32">
      <c r="C32" s="72" t="s">
        <v>47</v>
      </c>
      <c r="D32" s="46" t="str">
        <f t="shared" si="25"/>
        <v/>
      </c>
      <c r="E32" s="47" t="str">
        <f t="shared" si="23"/>
        <v/>
      </c>
      <c r="F32" s="47" t="str">
        <f t="shared" si="24"/>
        <v/>
      </c>
      <c r="G32" s="75"/>
      <c r="H32" s="49" t="str">
        <f t="shared" si="26"/>
        <v/>
      </c>
      <c r="I32" s="74" t="str">
        <f t="shared" si="27"/>
        <v/>
      </c>
      <c r="J32" s="74"/>
    </row>
    <row r="33">
      <c r="C33" s="72" t="s">
        <v>48</v>
      </c>
      <c r="D33" s="46" t="str">
        <f t="shared" si="25"/>
        <v/>
      </c>
      <c r="E33" s="47" t="str">
        <f t="shared" si="23"/>
        <v/>
      </c>
      <c r="F33" s="47" t="str">
        <f t="shared" si="24"/>
        <v/>
      </c>
      <c r="G33" s="75"/>
      <c r="H33" s="49" t="str">
        <f t="shared" si="26"/>
        <v/>
      </c>
      <c r="I33" s="74" t="str">
        <f t="shared" si="27"/>
        <v/>
      </c>
      <c r="J33" s="74"/>
    </row>
    <row r="34">
      <c r="C34" s="72" t="s">
        <v>49</v>
      </c>
      <c r="D34" s="46" t="str">
        <f t="shared" si="25"/>
        <v/>
      </c>
      <c r="E34" s="47" t="str">
        <f t="shared" si="23"/>
        <v/>
      </c>
      <c r="F34" s="47" t="str">
        <f t="shared" si="24"/>
        <v/>
      </c>
      <c r="G34" s="75"/>
      <c r="H34" s="49" t="str">
        <f t="shared" si="26"/>
        <v/>
      </c>
      <c r="I34" s="74" t="str">
        <f t="shared" si="27"/>
        <v/>
      </c>
      <c r="J34" s="74"/>
    </row>
    <row r="35">
      <c r="C35" s="72" t="s">
        <v>50</v>
      </c>
      <c r="D35" s="46" t="str">
        <f t="shared" si="25"/>
        <v/>
      </c>
      <c r="E35" s="47" t="str">
        <f t="shared" si="23"/>
        <v/>
      </c>
      <c r="F35" s="47" t="str">
        <f t="shared" si="24"/>
        <v/>
      </c>
      <c r="G35" s="75"/>
      <c r="H35" s="49" t="str">
        <f t="shared" si="26"/>
        <v/>
      </c>
      <c r="I35" s="74" t="str">
        <f t="shared" si="27"/>
        <v/>
      </c>
      <c r="J35" s="74"/>
    </row>
    <row r="36">
      <c r="C36" s="72" t="s">
        <v>51</v>
      </c>
      <c r="D36" s="46" t="str">
        <f t="shared" si="25"/>
        <v/>
      </c>
      <c r="E36" s="47" t="str">
        <f t="shared" si="23"/>
        <v/>
      </c>
      <c r="F36" s="47" t="str">
        <f t="shared" si="24"/>
        <v/>
      </c>
      <c r="G36" s="75"/>
      <c r="H36" s="49" t="str">
        <f t="shared" si="26"/>
        <v/>
      </c>
      <c r="I36" s="74" t="str">
        <f t="shared" si="27"/>
        <v/>
      </c>
      <c r="J36" s="74"/>
    </row>
    <row r="37">
      <c r="C37" s="72" t="s">
        <v>52</v>
      </c>
      <c r="D37" s="46" t="str">
        <f t="shared" si="25"/>
        <v/>
      </c>
      <c r="E37" s="47" t="str">
        <f t="shared" si="23"/>
        <v/>
      </c>
      <c r="F37" s="47" t="str">
        <f t="shared" si="24"/>
        <v/>
      </c>
      <c r="G37" s="75"/>
      <c r="H37" s="49" t="str">
        <f t="shared" si="26"/>
        <v/>
      </c>
      <c r="I37" s="74" t="str">
        <f t="shared" si="27"/>
        <v/>
      </c>
      <c r="J37" s="74"/>
    </row>
    <row r="38">
      <c r="C38" s="72" t="s">
        <v>53</v>
      </c>
      <c r="D38" s="46" t="str">
        <f t="shared" si="25"/>
        <v/>
      </c>
      <c r="E38" s="47" t="str">
        <f t="shared" si="23"/>
        <v/>
      </c>
      <c r="F38" s="47" t="str">
        <f t="shared" si="24"/>
        <v/>
      </c>
      <c r="G38" s="75"/>
      <c r="H38" s="49" t="str">
        <f t="shared" si="26"/>
        <v/>
      </c>
      <c r="I38" s="74" t="str">
        <f t="shared" si="27"/>
        <v/>
      </c>
      <c r="J38" s="74"/>
    </row>
    <row r="39">
      <c r="C39" s="72" t="s">
        <v>54</v>
      </c>
      <c r="D39" s="46" t="str">
        <f t="shared" si="25"/>
        <v/>
      </c>
      <c r="E39" s="47" t="str">
        <f t="shared" si="23"/>
        <v/>
      </c>
      <c r="F39" s="47" t="str">
        <f t="shared" si="24"/>
        <v/>
      </c>
      <c r="G39" s="75"/>
      <c r="H39" s="49" t="str">
        <f t="shared" si="26"/>
        <v/>
      </c>
      <c r="I39" s="74" t="str">
        <f t="shared" si="27"/>
        <v/>
      </c>
      <c r="J39" s="74"/>
    </row>
    <row r="40">
      <c r="C40" s="72" t="s">
        <v>55</v>
      </c>
      <c r="D40" s="46" t="str">
        <f t="shared" si="25"/>
        <v/>
      </c>
      <c r="E40" s="47" t="str">
        <f t="shared" si="23"/>
        <v/>
      </c>
      <c r="F40" s="47" t="str">
        <f t="shared" si="24"/>
        <v/>
      </c>
      <c r="G40" s="75"/>
      <c r="H40" s="49" t="str">
        <f t="shared" si="26"/>
        <v/>
      </c>
      <c r="I40" s="74" t="str">
        <f t="shared" si="27"/>
        <v/>
      </c>
      <c r="J40" s="74"/>
    </row>
    <row r="41">
      <c r="C41" s="72" t="s">
        <v>56</v>
      </c>
      <c r="D41" s="46" t="str">
        <f t="shared" si="25"/>
        <v/>
      </c>
      <c r="E41" s="47" t="str">
        <f t="shared" si="23"/>
        <v/>
      </c>
      <c r="F41" s="47" t="str">
        <f t="shared" si="24"/>
        <v/>
      </c>
      <c r="G41" s="75"/>
      <c r="H41" s="49" t="str">
        <f t="shared" si="26"/>
        <v/>
      </c>
      <c r="I41" s="74" t="str">
        <f t="shared" si="27"/>
        <v/>
      </c>
      <c r="J41" s="74"/>
    </row>
    <row r="42">
      <c r="C42" s="72" t="s">
        <v>57</v>
      </c>
      <c r="D42" s="46" t="str">
        <f t="shared" si="25"/>
        <v/>
      </c>
      <c r="E42" s="47" t="str">
        <f t="shared" si="23"/>
        <v/>
      </c>
      <c r="F42" s="47" t="str">
        <f t="shared" si="24"/>
        <v/>
      </c>
      <c r="G42" s="75"/>
      <c r="H42" s="49" t="str">
        <f t="shared" si="26"/>
        <v/>
      </c>
      <c r="I42" s="74" t="str">
        <f t="shared" si="27"/>
        <v/>
      </c>
      <c r="J42" s="74"/>
    </row>
    <row r="43">
      <c r="C43" s="72" t="s">
        <v>58</v>
      </c>
      <c r="D43" s="46" t="str">
        <f t="shared" si="25"/>
        <v/>
      </c>
      <c r="E43" s="47" t="str">
        <f t="shared" si="23"/>
        <v/>
      </c>
      <c r="F43" s="47" t="str">
        <f t="shared" si="24"/>
        <v/>
      </c>
      <c r="G43" s="75"/>
      <c r="H43" s="49" t="str">
        <f t="shared" si="26"/>
        <v/>
      </c>
      <c r="I43" s="74" t="str">
        <f t="shared" si="27"/>
        <v/>
      </c>
      <c r="J43" s="74"/>
    </row>
    <row r="44">
      <c r="C44" s="72" t="s">
        <v>59</v>
      </c>
      <c r="D44" s="46" t="str">
        <f t="shared" si="25"/>
        <v/>
      </c>
      <c r="E44" s="47" t="str">
        <f t="shared" si="23"/>
        <v/>
      </c>
      <c r="F44" s="47" t="str">
        <f t="shared" si="24"/>
        <v/>
      </c>
      <c r="G44" s="75"/>
      <c r="H44" s="49" t="str">
        <f t="shared" si="26"/>
        <v/>
      </c>
      <c r="I44" s="74" t="str">
        <f t="shared" si="27"/>
        <v/>
      </c>
      <c r="J44" s="74"/>
    </row>
    <row r="45">
      <c r="C45" s="72" t="s">
        <v>60</v>
      </c>
      <c r="D45" s="46" t="str">
        <f t="shared" si="25"/>
        <v/>
      </c>
      <c r="E45" s="47" t="str">
        <f t="shared" si="23"/>
        <v/>
      </c>
      <c r="F45" s="47" t="str">
        <f t="shared" si="24"/>
        <v/>
      </c>
      <c r="G45" s="75"/>
      <c r="H45" s="49" t="str">
        <f t="shared" si="26"/>
        <v/>
      </c>
      <c r="I45" s="74" t="str">
        <f t="shared" si="27"/>
        <v/>
      </c>
      <c r="J45" s="74"/>
    </row>
    <row r="46">
      <c r="C46" s="72" t="s">
        <v>61</v>
      </c>
      <c r="D46" s="46" t="str">
        <f t="shared" si="25"/>
        <v/>
      </c>
      <c r="E46" s="47" t="str">
        <f t="shared" si="23"/>
        <v/>
      </c>
      <c r="F46" s="47" t="str">
        <f t="shared" si="24"/>
        <v/>
      </c>
      <c r="G46" s="75"/>
      <c r="H46" s="49" t="str">
        <f t="shared" si="26"/>
        <v/>
      </c>
      <c r="I46" s="74" t="str">
        <f t="shared" si="27"/>
        <v/>
      </c>
      <c r="J46" s="74"/>
    </row>
    <row r="47">
      <c r="C47" s="72" t="s">
        <v>62</v>
      </c>
      <c r="D47" s="46" t="str">
        <f t="shared" si="25"/>
        <v/>
      </c>
      <c r="E47" s="47" t="str">
        <f t="shared" si="23"/>
        <v/>
      </c>
      <c r="F47" s="47" t="str">
        <f t="shared" si="24"/>
        <v/>
      </c>
      <c r="G47" s="75"/>
      <c r="H47" s="49" t="str">
        <f t="shared" si="26"/>
        <v/>
      </c>
      <c r="I47" s="74" t="str">
        <f t="shared" si="27"/>
        <v/>
      </c>
      <c r="J47" s="74"/>
    </row>
    <row r="48">
      <c r="C48" s="72" t="s">
        <v>63</v>
      </c>
      <c r="D48" s="46" t="str">
        <f t="shared" si="25"/>
        <v/>
      </c>
      <c r="E48" s="47" t="str">
        <f t="shared" si="23"/>
        <v/>
      </c>
      <c r="F48" s="47" t="str">
        <f t="shared" si="24"/>
        <v/>
      </c>
      <c r="G48" s="75"/>
      <c r="H48" s="49" t="str">
        <f t="shared" si="26"/>
        <v/>
      </c>
      <c r="I48" s="74" t="str">
        <f t="shared" si="27"/>
        <v/>
      </c>
      <c r="J48" s="74"/>
    </row>
    <row r="49">
      <c r="C49" s="72" t="s">
        <v>64</v>
      </c>
      <c r="D49" s="46" t="str">
        <f t="shared" si="25"/>
        <v/>
      </c>
      <c r="E49" s="47" t="str">
        <f t="shared" si="23"/>
        <v/>
      </c>
      <c r="F49" s="47" t="str">
        <f t="shared" si="24"/>
        <v/>
      </c>
      <c r="G49" s="75"/>
      <c r="H49" s="49" t="str">
        <f t="shared" si="26"/>
        <v/>
      </c>
      <c r="I49" s="74" t="str">
        <f t="shared" si="27"/>
        <v/>
      </c>
      <c r="J49" s="74"/>
    </row>
    <row r="50">
      <c r="C50" s="72" t="s">
        <v>65</v>
      </c>
      <c r="D50" s="46" t="str">
        <f t="shared" si="25"/>
        <v/>
      </c>
      <c r="E50" s="47" t="str">
        <f t="shared" si="23"/>
        <v/>
      </c>
      <c r="F50" s="47" t="str">
        <f t="shared" si="24"/>
        <v/>
      </c>
      <c r="G50" s="75"/>
      <c r="H50" s="49" t="str">
        <f t="shared" si="26"/>
        <v/>
      </c>
      <c r="I50" s="74" t="str">
        <f t="shared" si="27"/>
        <v/>
      </c>
      <c r="J50" s="74"/>
    </row>
    <row r="51">
      <c r="C51" s="72" t="s">
        <v>66</v>
      </c>
      <c r="D51" s="46" t="str">
        <f t="shared" si="25"/>
        <v/>
      </c>
      <c r="E51" s="47" t="str">
        <f t="shared" si="23"/>
        <v/>
      </c>
      <c r="F51" s="47" t="str">
        <f t="shared" si="24"/>
        <v/>
      </c>
      <c r="G51" s="75"/>
      <c r="H51" s="49" t="str">
        <f t="shared" si="26"/>
        <v/>
      </c>
      <c r="I51" s="74" t="str">
        <f t="shared" si="27"/>
        <v/>
      </c>
      <c r="J51" s="74"/>
    </row>
    <row r="52">
      <c r="C52" s="72" t="s">
        <v>67</v>
      </c>
      <c r="D52" s="46" t="str">
        <f t="shared" si="25"/>
        <v/>
      </c>
      <c r="E52" s="47" t="str">
        <f t="shared" si="23"/>
        <v/>
      </c>
      <c r="F52" s="47" t="str">
        <f t="shared" si="24"/>
        <v/>
      </c>
      <c r="G52" s="75"/>
      <c r="H52" s="49" t="str">
        <f t="shared" si="26"/>
        <v/>
      </c>
      <c r="I52" s="74" t="str">
        <f t="shared" si="27"/>
        <v/>
      </c>
      <c r="J52" s="74"/>
    </row>
    <row r="53">
      <c r="C53" s="72" t="s">
        <v>68</v>
      </c>
      <c r="D53" s="46" t="str">
        <f t="shared" si="25"/>
        <v/>
      </c>
      <c r="E53" s="47" t="str">
        <f t="shared" si="23"/>
        <v/>
      </c>
      <c r="F53" s="47" t="str">
        <f t="shared" si="24"/>
        <v/>
      </c>
      <c r="G53" s="75"/>
      <c r="H53" s="49" t="str">
        <f t="shared" si="26"/>
        <v/>
      </c>
      <c r="I53" s="74" t="str">
        <f t="shared" si="27"/>
        <v/>
      </c>
      <c r="J53" s="74"/>
    </row>
    <row r="54">
      <c r="C54" s="72" t="s">
        <v>69</v>
      </c>
      <c r="D54" s="46" t="str">
        <f t="shared" si="25"/>
        <v/>
      </c>
      <c r="E54" s="47" t="str">
        <f t="shared" si="23"/>
        <v/>
      </c>
      <c r="F54" s="47" t="str">
        <f t="shared" si="24"/>
        <v/>
      </c>
      <c r="G54" s="75"/>
      <c r="H54" s="49" t="str">
        <f t="shared" si="26"/>
        <v/>
      </c>
      <c r="I54" s="74" t="str">
        <f t="shared" si="27"/>
        <v/>
      </c>
      <c r="J54" s="74"/>
    </row>
    <row r="55">
      <c r="C55" s="72" t="s">
        <v>70</v>
      </c>
      <c r="D55" s="46" t="str">
        <f t="shared" si="25"/>
        <v/>
      </c>
      <c r="E55" s="47" t="str">
        <f t="shared" si="23"/>
        <v/>
      </c>
      <c r="F55" s="47" t="str">
        <f t="shared" si="24"/>
        <v/>
      </c>
      <c r="G55" s="75"/>
      <c r="H55" s="49" t="str">
        <f t="shared" si="26"/>
        <v/>
      </c>
      <c r="I55" s="74" t="str">
        <f t="shared" si="27"/>
        <v/>
      </c>
      <c r="J55" s="74"/>
    </row>
    <row r="56">
      <c r="C56" s="72" t="s">
        <v>71</v>
      </c>
      <c r="D56" s="46" t="str">
        <f t="shared" si="25"/>
        <v/>
      </c>
      <c r="E56" s="47" t="str">
        <f t="shared" si="23"/>
        <v/>
      </c>
      <c r="F56" s="47" t="str">
        <f t="shared" si="24"/>
        <v/>
      </c>
      <c r="G56" s="75"/>
      <c r="H56" s="49" t="str">
        <f t="shared" si="26"/>
        <v/>
      </c>
      <c r="I56" s="74" t="str">
        <f t="shared" si="27"/>
        <v/>
      </c>
      <c r="J56" s="74"/>
    </row>
    <row r="57">
      <c r="C57" s="72" t="s">
        <v>72</v>
      </c>
      <c r="D57" s="46" t="str">
        <f t="shared" si="25"/>
        <v/>
      </c>
      <c r="E57" s="47" t="str">
        <f t="shared" si="23"/>
        <v/>
      </c>
      <c r="F57" s="47" t="str">
        <f t="shared" si="24"/>
        <v/>
      </c>
      <c r="G57" s="75"/>
      <c r="H57" s="49" t="str">
        <f t="shared" si="26"/>
        <v/>
      </c>
      <c r="I57" s="74" t="str">
        <f t="shared" si="27"/>
        <v/>
      </c>
      <c r="J57" s="74"/>
    </row>
    <row r="58">
      <c r="C58" s="72" t="s">
        <v>73</v>
      </c>
      <c r="D58" s="46" t="str">
        <f t="shared" si="25"/>
        <v/>
      </c>
      <c r="E58" s="47" t="str">
        <f t="shared" si="23"/>
        <v/>
      </c>
      <c r="F58" s="47" t="str">
        <f t="shared" si="24"/>
        <v/>
      </c>
      <c r="G58" s="75"/>
      <c r="H58" s="49" t="str">
        <f t="shared" si="26"/>
        <v/>
      </c>
      <c r="I58" s="74" t="str">
        <f t="shared" si="27"/>
        <v/>
      </c>
      <c r="J58" s="74"/>
    </row>
    <row r="59">
      <c r="C59" s="72" t="s">
        <v>74</v>
      </c>
      <c r="D59" s="46" t="str">
        <f t="shared" si="25"/>
        <v/>
      </c>
      <c r="E59" s="47" t="str">
        <f t="shared" si="23"/>
        <v/>
      </c>
      <c r="F59" s="47" t="str">
        <f t="shared" si="24"/>
        <v/>
      </c>
      <c r="G59" s="75"/>
      <c r="H59" s="49" t="str">
        <f t="shared" si="26"/>
        <v/>
      </c>
      <c r="I59" s="74" t="str">
        <f t="shared" si="27"/>
        <v/>
      </c>
      <c r="J59" s="74"/>
    </row>
    <row r="60">
      <c r="C60" s="72" t="s">
        <v>75</v>
      </c>
      <c r="D60" s="46" t="str">
        <f t="shared" si="25"/>
        <v/>
      </c>
      <c r="E60" s="47" t="str">
        <f t="shared" si="23"/>
        <v/>
      </c>
      <c r="F60" s="47" t="str">
        <f t="shared" si="24"/>
        <v/>
      </c>
      <c r="G60" s="75"/>
      <c r="H60" s="49" t="str">
        <f t="shared" si="26"/>
        <v/>
      </c>
      <c r="I60" s="74" t="str">
        <f t="shared" si="27"/>
        <v/>
      </c>
      <c r="J60" s="74"/>
    </row>
    <row r="61">
      <c r="C61" s="72" t="s">
        <v>76</v>
      </c>
      <c r="D61" s="46" t="str">
        <f t="shared" si="25"/>
        <v/>
      </c>
      <c r="E61" s="47" t="str">
        <f t="shared" si="23"/>
        <v/>
      </c>
      <c r="F61" s="47" t="str">
        <f t="shared" si="24"/>
        <v/>
      </c>
      <c r="G61" s="75"/>
      <c r="H61" s="49" t="str">
        <f t="shared" si="26"/>
        <v/>
      </c>
      <c r="I61" s="74" t="str">
        <f t="shared" si="27"/>
        <v/>
      </c>
      <c r="J61" s="74"/>
    </row>
    <row r="62">
      <c r="C62" s="72" t="s">
        <v>77</v>
      </c>
      <c r="D62" s="46" t="str">
        <f t="shared" si="25"/>
        <v/>
      </c>
      <c r="E62" s="47" t="str">
        <f t="shared" si="23"/>
        <v/>
      </c>
      <c r="F62" s="47" t="str">
        <f t="shared" si="24"/>
        <v/>
      </c>
      <c r="G62" s="75"/>
      <c r="H62" s="49" t="str">
        <f t="shared" si="26"/>
        <v/>
      </c>
      <c r="I62" s="74" t="str">
        <f t="shared" si="27"/>
        <v/>
      </c>
      <c r="J62" s="74"/>
    </row>
    <row r="63">
      <c r="C63" s="72" t="s">
        <v>78</v>
      </c>
      <c r="D63" s="46" t="str">
        <f t="shared" si="25"/>
        <v/>
      </c>
      <c r="E63" s="47" t="str">
        <f t="shared" si="23"/>
        <v/>
      </c>
      <c r="F63" s="47" t="str">
        <f t="shared" si="24"/>
        <v/>
      </c>
      <c r="G63" s="75"/>
      <c r="H63" s="49" t="str">
        <f t="shared" si="26"/>
        <v/>
      </c>
      <c r="I63" s="74" t="str">
        <f t="shared" si="27"/>
        <v/>
      </c>
      <c r="J63" s="74"/>
    </row>
    <row r="64">
      <c r="C64" s="72" t="s">
        <v>79</v>
      </c>
      <c r="D64" s="46" t="str">
        <f t="shared" si="25"/>
        <v/>
      </c>
      <c r="E64" s="47" t="str">
        <f t="shared" si="23"/>
        <v/>
      </c>
      <c r="F64" s="47" t="str">
        <f t="shared" si="24"/>
        <v/>
      </c>
      <c r="G64" s="75"/>
      <c r="H64" s="49" t="str">
        <f t="shared" si="26"/>
        <v/>
      </c>
      <c r="I64" s="74" t="str">
        <f t="shared" si="27"/>
        <v/>
      </c>
      <c r="J64" s="74"/>
    </row>
    <row r="65">
      <c r="C65" s="72" t="s">
        <v>80</v>
      </c>
      <c r="D65" s="46" t="str">
        <f t="shared" si="25"/>
        <v/>
      </c>
      <c r="E65" s="47" t="str">
        <f t="shared" si="23"/>
        <v/>
      </c>
      <c r="F65" s="47" t="str">
        <f t="shared" si="24"/>
        <v/>
      </c>
      <c r="G65" s="75"/>
      <c r="H65" s="49" t="str">
        <f t="shared" si="26"/>
        <v/>
      </c>
      <c r="I65" s="74" t="str">
        <f t="shared" si="27"/>
        <v/>
      </c>
      <c r="J65" s="74"/>
    </row>
    <row r="66">
      <c r="C66" s="72" t="s">
        <v>81</v>
      </c>
      <c r="D66" s="46" t="str">
        <f t="shared" si="25"/>
        <v/>
      </c>
      <c r="E66" s="47" t="str">
        <f t="shared" si="23"/>
        <v/>
      </c>
      <c r="F66" s="47" t="str">
        <f t="shared" si="24"/>
        <v/>
      </c>
      <c r="G66" s="75"/>
      <c r="H66" s="49" t="str">
        <f t="shared" si="26"/>
        <v/>
      </c>
      <c r="I66" s="74" t="str">
        <f t="shared" si="27"/>
        <v/>
      </c>
      <c r="J66" s="74"/>
    </row>
    <row r="67">
      <c r="C67" s="72" t="s">
        <v>82</v>
      </c>
      <c r="D67" s="46" t="str">
        <f t="shared" si="25"/>
        <v/>
      </c>
      <c r="E67" s="47" t="str">
        <f t="shared" si="23"/>
        <v/>
      </c>
      <c r="F67" s="47" t="str">
        <f t="shared" si="24"/>
        <v/>
      </c>
      <c r="G67" s="75"/>
      <c r="H67" s="49" t="str">
        <f t="shared" si="26"/>
        <v/>
      </c>
      <c r="I67" s="74" t="str">
        <f t="shared" si="27"/>
        <v/>
      </c>
      <c r="J67" s="74"/>
    </row>
    <row r="68">
      <c r="C68" s="72" t="s">
        <v>83</v>
      </c>
      <c r="D68" s="46" t="str">
        <f t="shared" si="25"/>
        <v/>
      </c>
      <c r="E68" s="47" t="str">
        <f t="shared" si="23"/>
        <v/>
      </c>
      <c r="F68" s="47" t="str">
        <f t="shared" si="24"/>
        <v/>
      </c>
      <c r="G68" s="75"/>
      <c r="H68" s="49" t="str">
        <f t="shared" si="26"/>
        <v/>
      </c>
      <c r="I68" s="74" t="str">
        <f t="shared" si="27"/>
        <v/>
      </c>
      <c r="J68" s="74"/>
    </row>
    <row r="69">
      <c r="C69" s="72" t="s">
        <v>84</v>
      </c>
      <c r="D69" s="46" t="str">
        <f t="shared" si="25"/>
        <v/>
      </c>
      <c r="E69" s="47" t="str">
        <f t="shared" si="23"/>
        <v/>
      </c>
      <c r="F69" s="47" t="str">
        <f t="shared" si="24"/>
        <v/>
      </c>
      <c r="G69" s="75"/>
      <c r="H69" s="49" t="str">
        <f t="shared" si="26"/>
        <v/>
      </c>
      <c r="I69" s="74" t="str">
        <f t="shared" si="27"/>
        <v/>
      </c>
      <c r="J69" s="74"/>
    </row>
    <row r="70">
      <c r="C70" s="72" t="s">
        <v>85</v>
      </c>
      <c r="D70" s="46" t="str">
        <f t="shared" si="25"/>
        <v/>
      </c>
      <c r="E70" s="47" t="str">
        <f t="shared" si="23"/>
        <v/>
      </c>
      <c r="F70" s="47" t="str">
        <f t="shared" si="24"/>
        <v/>
      </c>
      <c r="G70" s="75"/>
      <c r="H70" s="49" t="str">
        <f t="shared" si="26"/>
        <v/>
      </c>
      <c r="I70" s="74" t="str">
        <f t="shared" si="27"/>
        <v/>
      </c>
      <c r="J70" s="74"/>
    </row>
    <row r="71">
      <c r="C71" s="72" t="s">
        <v>86</v>
      </c>
      <c r="D71" s="46" t="str">
        <f t="shared" si="25"/>
        <v/>
      </c>
      <c r="E71" s="47" t="str">
        <f t="shared" si="23"/>
        <v/>
      </c>
      <c r="F71" s="47" t="str">
        <f t="shared" si="24"/>
        <v/>
      </c>
      <c r="G71" s="75"/>
      <c r="H71" s="49" t="str">
        <f t="shared" si="26"/>
        <v/>
      </c>
      <c r="I71" s="74" t="str">
        <f t="shared" si="27"/>
        <v/>
      </c>
      <c r="J71" s="74"/>
    </row>
    <row r="72">
      <c r="C72" s="72" t="s">
        <v>87</v>
      </c>
      <c r="D72" s="46" t="str">
        <f t="shared" si="25"/>
        <v/>
      </c>
      <c r="E72" s="47" t="str">
        <f t="shared" si="23"/>
        <v/>
      </c>
      <c r="F72" s="47" t="str">
        <f t="shared" si="24"/>
        <v/>
      </c>
      <c r="G72" s="75"/>
      <c r="H72" s="49" t="str">
        <f t="shared" si="26"/>
        <v/>
      </c>
      <c r="I72" s="74" t="str">
        <f t="shared" si="27"/>
        <v/>
      </c>
      <c r="J72" s="74"/>
    </row>
    <row r="73">
      <c r="C73" s="72" t="s">
        <v>88</v>
      </c>
      <c r="D73" s="46" t="str">
        <f t="shared" si="25"/>
        <v/>
      </c>
      <c r="E73" s="47" t="str">
        <f t="shared" si="23"/>
        <v/>
      </c>
      <c r="F73" s="47" t="str">
        <f t="shared" si="24"/>
        <v/>
      </c>
      <c r="G73" s="75"/>
      <c r="H73" s="49" t="str">
        <f t="shared" si="26"/>
        <v/>
      </c>
      <c r="I73" s="74" t="str">
        <f t="shared" si="27"/>
        <v/>
      </c>
      <c r="J73" s="74"/>
    </row>
    <row r="74">
      <c r="C74" s="72" t="s">
        <v>89</v>
      </c>
      <c r="D74" s="46" t="str">
        <f t="shared" si="25"/>
        <v/>
      </c>
      <c r="E74" s="47" t="str">
        <f t="shared" si="23"/>
        <v/>
      </c>
      <c r="F74" s="47" t="str">
        <f t="shared" si="24"/>
        <v/>
      </c>
      <c r="G74" s="75"/>
      <c r="H74" s="49" t="str">
        <f t="shared" si="26"/>
        <v/>
      </c>
      <c r="I74" s="74" t="str">
        <f t="shared" si="27"/>
        <v/>
      </c>
      <c r="J74" s="74"/>
    </row>
    <row r="75">
      <c r="C75" s="72" t="s">
        <v>90</v>
      </c>
      <c r="D75" s="46" t="str">
        <f t="shared" si="25"/>
        <v/>
      </c>
      <c r="E75" s="47" t="str">
        <f t="shared" si="23"/>
        <v/>
      </c>
      <c r="F75" s="47" t="str">
        <f t="shared" si="24"/>
        <v/>
      </c>
      <c r="G75" s="75"/>
      <c r="H75" s="49" t="str">
        <f t="shared" si="26"/>
        <v/>
      </c>
      <c r="I75" s="74" t="str">
        <f t="shared" si="27"/>
        <v/>
      </c>
      <c r="J75" s="74"/>
    </row>
    <row r="76">
      <c r="C76" s="72" t="s">
        <v>91</v>
      </c>
      <c r="D76" s="46" t="str">
        <f t="shared" si="25"/>
        <v/>
      </c>
      <c r="E76" s="47" t="str">
        <f t="shared" ref="E76:E111" si="28">IF(D76&lt;&gt;"",ROUND(D76/100*$E$9,0),"")</f>
        <v/>
      </c>
      <c r="F76" s="47" t="str">
        <f t="shared" ref="F76:F111" si="29">IF(D76&lt;&gt;"",E76*$G$9,"")</f>
        <v/>
      </c>
      <c r="G76" s="75"/>
      <c r="H76" s="49" t="str">
        <f t="shared" si="26"/>
        <v/>
      </c>
      <c r="I76" s="74" t="str">
        <f t="shared" si="27"/>
        <v/>
      </c>
      <c r="J76" s="74"/>
    </row>
    <row r="77">
      <c r="C77" s="72" t="s">
        <v>92</v>
      </c>
      <c r="D77" s="46" t="str">
        <f t="shared" ref="D77:D111" si="30">IFERROR(IF(G76&lt;&gt;"",H76,""),"")</f>
        <v/>
      </c>
      <c r="E77" s="47" t="str">
        <f t="shared" si="28"/>
        <v/>
      </c>
      <c r="F77" s="47" t="str">
        <f t="shared" si="29"/>
        <v/>
      </c>
      <c r="G77" s="75"/>
      <c r="H77" s="49" t="str">
        <f t="shared" ref="H77:H86" si="31">IF(D77&lt;&gt;"",D77+G77,"")</f>
        <v/>
      </c>
      <c r="I77" s="74" t="str">
        <f t="shared" ref="I77:I111" si="32">IF(D77&lt;&gt;"",IF(H77&lt;&gt;"",(H77-D77)/D77,""),"")</f>
        <v/>
      </c>
      <c r="J77" s="74"/>
    </row>
    <row r="78">
      <c r="C78" s="72" t="s">
        <v>93</v>
      </c>
      <c r="D78" s="46" t="str">
        <f t="shared" si="30"/>
        <v/>
      </c>
      <c r="E78" s="47" t="str">
        <f t="shared" si="28"/>
        <v/>
      </c>
      <c r="F78" s="47" t="str">
        <f t="shared" si="29"/>
        <v/>
      </c>
      <c r="G78" s="75"/>
      <c r="H78" s="49" t="str">
        <f t="shared" si="31"/>
        <v/>
      </c>
      <c r="I78" s="74" t="str">
        <f t="shared" si="32"/>
        <v/>
      </c>
      <c r="J78" s="74"/>
    </row>
    <row r="79">
      <c r="C79" s="72" t="s">
        <v>94</v>
      </c>
      <c r="D79" s="46" t="str">
        <f t="shared" si="30"/>
        <v/>
      </c>
      <c r="E79" s="47" t="str">
        <f t="shared" si="28"/>
        <v/>
      </c>
      <c r="F79" s="47" t="str">
        <f t="shared" si="29"/>
        <v/>
      </c>
      <c r="G79" s="75"/>
      <c r="H79" s="49" t="str">
        <f t="shared" si="31"/>
        <v/>
      </c>
      <c r="I79" s="74" t="str">
        <f t="shared" si="32"/>
        <v/>
      </c>
      <c r="J79" s="74"/>
    </row>
    <row r="80">
      <c r="C80" s="72" t="s">
        <v>95</v>
      </c>
      <c r="D80" s="46" t="str">
        <f t="shared" si="30"/>
        <v/>
      </c>
      <c r="E80" s="47" t="str">
        <f t="shared" si="28"/>
        <v/>
      </c>
      <c r="F80" s="47" t="str">
        <f t="shared" si="29"/>
        <v/>
      </c>
      <c r="G80" s="75"/>
      <c r="H80" s="49" t="str">
        <f t="shared" si="31"/>
        <v/>
      </c>
      <c r="I80" s="74" t="str">
        <f t="shared" si="32"/>
        <v/>
      </c>
      <c r="J80" s="74"/>
    </row>
    <row r="81">
      <c r="C81" s="72" t="s">
        <v>96</v>
      </c>
      <c r="D81" s="46" t="str">
        <f t="shared" si="30"/>
        <v/>
      </c>
      <c r="E81" s="47" t="str">
        <f t="shared" si="28"/>
        <v/>
      </c>
      <c r="F81" s="47" t="str">
        <f t="shared" si="29"/>
        <v/>
      </c>
      <c r="G81" s="75"/>
      <c r="H81" s="49" t="str">
        <f t="shared" si="31"/>
        <v/>
      </c>
      <c r="I81" s="74" t="str">
        <f t="shared" si="32"/>
        <v/>
      </c>
      <c r="J81" s="74"/>
    </row>
    <row r="82">
      <c r="C82" s="72" t="s">
        <v>97</v>
      </c>
      <c r="D82" s="46" t="str">
        <f t="shared" si="30"/>
        <v/>
      </c>
      <c r="E82" s="47" t="str">
        <f t="shared" si="28"/>
        <v/>
      </c>
      <c r="F82" s="47" t="str">
        <f t="shared" si="29"/>
        <v/>
      </c>
      <c r="G82" s="75"/>
      <c r="H82" s="49" t="str">
        <f t="shared" si="31"/>
        <v/>
      </c>
      <c r="I82" s="74" t="str">
        <f t="shared" si="32"/>
        <v/>
      </c>
      <c r="J82" s="74"/>
    </row>
    <row r="83">
      <c r="C83" s="72" t="s">
        <v>98</v>
      </c>
      <c r="D83" s="46" t="str">
        <f t="shared" si="30"/>
        <v/>
      </c>
      <c r="E83" s="47" t="str">
        <f t="shared" si="28"/>
        <v/>
      </c>
      <c r="F83" s="47" t="str">
        <f t="shared" si="29"/>
        <v/>
      </c>
      <c r="G83" s="75"/>
      <c r="H83" s="49" t="str">
        <f t="shared" si="31"/>
        <v/>
      </c>
      <c r="I83" s="74" t="str">
        <f t="shared" si="32"/>
        <v/>
      </c>
      <c r="J83" s="74"/>
    </row>
    <row r="84">
      <c r="C84" s="72" t="s">
        <v>99</v>
      </c>
      <c r="D84" s="46" t="str">
        <f t="shared" si="30"/>
        <v/>
      </c>
      <c r="E84" s="47" t="str">
        <f t="shared" si="28"/>
        <v/>
      </c>
      <c r="F84" s="47" t="str">
        <f t="shared" si="29"/>
        <v/>
      </c>
      <c r="G84" s="75"/>
      <c r="H84" s="49" t="str">
        <f t="shared" si="31"/>
        <v/>
      </c>
      <c r="I84" s="74" t="str">
        <f t="shared" si="32"/>
        <v/>
      </c>
      <c r="J84" s="74"/>
    </row>
    <row r="85">
      <c r="C85" s="72" t="s">
        <v>100</v>
      </c>
      <c r="D85" s="46" t="str">
        <f t="shared" si="30"/>
        <v/>
      </c>
      <c r="E85" s="47" t="str">
        <f t="shared" si="28"/>
        <v/>
      </c>
      <c r="F85" s="47" t="str">
        <f t="shared" si="29"/>
        <v/>
      </c>
      <c r="G85" s="75"/>
      <c r="H85" s="49" t="str">
        <f t="shared" si="31"/>
        <v/>
      </c>
      <c r="I85" s="74" t="str">
        <f t="shared" si="32"/>
        <v/>
      </c>
      <c r="J85" s="74"/>
    </row>
    <row r="86">
      <c r="C86" s="72" t="s">
        <v>101</v>
      </c>
      <c r="D86" s="46" t="str">
        <f t="shared" si="30"/>
        <v/>
      </c>
      <c r="E86" s="47" t="str">
        <f t="shared" si="28"/>
        <v/>
      </c>
      <c r="F86" s="47" t="str">
        <f t="shared" si="29"/>
        <v/>
      </c>
      <c r="G86" s="75"/>
      <c r="H86" s="49" t="str">
        <f t="shared" si="31"/>
        <v/>
      </c>
      <c r="I86" s="74" t="str">
        <f t="shared" si="32"/>
        <v/>
      </c>
      <c r="J86" s="74"/>
    </row>
    <row r="87">
      <c r="C87" s="72" t="s">
        <v>102</v>
      </c>
      <c r="D87" s="46" t="str">
        <f t="shared" si="30"/>
        <v/>
      </c>
      <c r="E87" s="47" t="str">
        <f t="shared" si="28"/>
        <v/>
      </c>
      <c r="F87" s="47" t="str">
        <f t="shared" si="29"/>
        <v/>
      </c>
      <c r="G87" s="75"/>
      <c r="H87" s="49" t="str">
        <f t="shared" ref="H87:H111" si="33">IF(D87&lt;&gt;"",D87+G87,H86)</f>
        <v/>
      </c>
      <c r="I87" s="74" t="str">
        <f t="shared" si="32"/>
        <v/>
      </c>
      <c r="J87" s="74"/>
    </row>
    <row r="88">
      <c r="C88" s="72" t="s">
        <v>103</v>
      </c>
      <c r="D88" s="46" t="str">
        <f t="shared" si="30"/>
        <v/>
      </c>
      <c r="E88" s="47" t="str">
        <f t="shared" si="28"/>
        <v/>
      </c>
      <c r="F88" s="47" t="str">
        <f t="shared" si="29"/>
        <v/>
      </c>
      <c r="G88" s="75"/>
      <c r="H88" s="49" t="str">
        <f t="shared" si="33"/>
        <v/>
      </c>
      <c r="I88" s="74" t="str">
        <f t="shared" si="32"/>
        <v/>
      </c>
      <c r="J88" s="74"/>
    </row>
    <row r="89">
      <c r="C89" s="72" t="s">
        <v>104</v>
      </c>
      <c r="D89" s="46" t="str">
        <f t="shared" si="30"/>
        <v/>
      </c>
      <c r="E89" s="47" t="str">
        <f t="shared" si="28"/>
        <v/>
      </c>
      <c r="F89" s="47" t="str">
        <f t="shared" si="29"/>
        <v/>
      </c>
      <c r="G89" s="75"/>
      <c r="H89" s="49" t="str">
        <f t="shared" si="33"/>
        <v/>
      </c>
      <c r="I89" s="74" t="str">
        <f t="shared" si="32"/>
        <v/>
      </c>
      <c r="J89" s="74"/>
    </row>
    <row r="90">
      <c r="C90" s="72" t="s">
        <v>105</v>
      </c>
      <c r="D90" s="46" t="str">
        <f t="shared" si="30"/>
        <v/>
      </c>
      <c r="E90" s="47" t="str">
        <f t="shared" si="28"/>
        <v/>
      </c>
      <c r="F90" s="47" t="str">
        <f t="shared" si="29"/>
        <v/>
      </c>
      <c r="G90" s="75"/>
      <c r="H90" s="49" t="str">
        <f t="shared" si="33"/>
        <v/>
      </c>
      <c r="I90" s="74" t="str">
        <f t="shared" si="32"/>
        <v/>
      </c>
      <c r="J90" s="74"/>
    </row>
    <row r="91">
      <c r="C91" s="72" t="s">
        <v>106</v>
      </c>
      <c r="D91" s="46" t="str">
        <f t="shared" si="30"/>
        <v/>
      </c>
      <c r="E91" s="47" t="str">
        <f t="shared" si="28"/>
        <v/>
      </c>
      <c r="F91" s="47" t="str">
        <f t="shared" si="29"/>
        <v/>
      </c>
      <c r="G91" s="75"/>
      <c r="H91" s="49" t="str">
        <f t="shared" si="33"/>
        <v/>
      </c>
      <c r="I91" s="74" t="str">
        <f t="shared" si="32"/>
        <v/>
      </c>
      <c r="J91" s="74"/>
    </row>
    <row r="92">
      <c r="C92" s="72" t="s">
        <v>107</v>
      </c>
      <c r="D92" s="46" t="str">
        <f t="shared" si="30"/>
        <v/>
      </c>
      <c r="E92" s="47" t="str">
        <f t="shared" si="28"/>
        <v/>
      </c>
      <c r="F92" s="47" t="str">
        <f t="shared" si="29"/>
        <v/>
      </c>
      <c r="G92" s="75"/>
      <c r="H92" s="49" t="str">
        <f t="shared" si="33"/>
        <v/>
      </c>
      <c r="I92" s="74" t="str">
        <f t="shared" si="32"/>
        <v/>
      </c>
      <c r="J92" s="74"/>
    </row>
    <row r="93">
      <c r="C93" s="72" t="s">
        <v>108</v>
      </c>
      <c r="D93" s="46" t="str">
        <f t="shared" si="30"/>
        <v/>
      </c>
      <c r="E93" s="47" t="str">
        <f t="shared" si="28"/>
        <v/>
      </c>
      <c r="F93" s="47" t="str">
        <f t="shared" si="29"/>
        <v/>
      </c>
      <c r="G93" s="75"/>
      <c r="H93" s="49" t="str">
        <f t="shared" si="33"/>
        <v/>
      </c>
      <c r="I93" s="74" t="str">
        <f t="shared" si="32"/>
        <v/>
      </c>
      <c r="J93" s="74"/>
    </row>
    <row r="94">
      <c r="C94" s="72" t="s">
        <v>109</v>
      </c>
      <c r="D94" s="46" t="str">
        <f t="shared" si="30"/>
        <v/>
      </c>
      <c r="E94" s="47" t="str">
        <f t="shared" si="28"/>
        <v/>
      </c>
      <c r="F94" s="47" t="str">
        <f t="shared" si="29"/>
        <v/>
      </c>
      <c r="G94" s="75"/>
      <c r="H94" s="49" t="str">
        <f t="shared" si="33"/>
        <v/>
      </c>
      <c r="I94" s="74" t="str">
        <f t="shared" si="32"/>
        <v/>
      </c>
      <c r="J94" s="74"/>
    </row>
    <row r="95">
      <c r="C95" s="72" t="s">
        <v>110</v>
      </c>
      <c r="D95" s="46" t="str">
        <f t="shared" si="30"/>
        <v/>
      </c>
      <c r="E95" s="47" t="str">
        <f t="shared" si="28"/>
        <v/>
      </c>
      <c r="F95" s="47" t="str">
        <f t="shared" si="29"/>
        <v/>
      </c>
      <c r="G95" s="75"/>
      <c r="H95" s="49" t="str">
        <f t="shared" si="33"/>
        <v/>
      </c>
      <c r="I95" s="74" t="str">
        <f t="shared" si="32"/>
        <v/>
      </c>
      <c r="J95" s="74"/>
    </row>
    <row r="96">
      <c r="C96" s="72" t="s">
        <v>111</v>
      </c>
      <c r="D96" s="46" t="str">
        <f t="shared" si="30"/>
        <v/>
      </c>
      <c r="E96" s="47" t="str">
        <f t="shared" si="28"/>
        <v/>
      </c>
      <c r="F96" s="47" t="str">
        <f t="shared" si="29"/>
        <v/>
      </c>
      <c r="G96" s="75"/>
      <c r="H96" s="49" t="str">
        <f t="shared" si="33"/>
        <v/>
      </c>
      <c r="I96" s="74" t="str">
        <f t="shared" si="32"/>
        <v/>
      </c>
      <c r="J96" s="74"/>
    </row>
    <row r="97">
      <c r="C97" s="72" t="s">
        <v>112</v>
      </c>
      <c r="D97" s="46" t="str">
        <f t="shared" si="30"/>
        <v/>
      </c>
      <c r="E97" s="47" t="str">
        <f t="shared" si="28"/>
        <v/>
      </c>
      <c r="F97" s="47" t="str">
        <f t="shared" si="29"/>
        <v/>
      </c>
      <c r="G97" s="75"/>
      <c r="H97" s="49" t="str">
        <f t="shared" si="33"/>
        <v/>
      </c>
      <c r="I97" s="74" t="str">
        <f t="shared" si="32"/>
        <v/>
      </c>
      <c r="J97" s="74"/>
    </row>
    <row r="98">
      <c r="C98" s="72" t="s">
        <v>113</v>
      </c>
      <c r="D98" s="46" t="str">
        <f t="shared" si="30"/>
        <v/>
      </c>
      <c r="E98" s="47" t="str">
        <f t="shared" si="28"/>
        <v/>
      </c>
      <c r="F98" s="47" t="str">
        <f t="shared" si="29"/>
        <v/>
      </c>
      <c r="G98" s="75"/>
      <c r="H98" s="49" t="str">
        <f t="shared" si="33"/>
        <v/>
      </c>
      <c r="I98" s="74" t="str">
        <f t="shared" si="32"/>
        <v/>
      </c>
      <c r="J98" s="74"/>
    </row>
    <row r="99">
      <c r="C99" s="72" t="s">
        <v>114</v>
      </c>
      <c r="D99" s="46" t="str">
        <f t="shared" si="30"/>
        <v/>
      </c>
      <c r="E99" s="47" t="str">
        <f t="shared" si="28"/>
        <v/>
      </c>
      <c r="F99" s="47" t="str">
        <f t="shared" si="29"/>
        <v/>
      </c>
      <c r="G99" s="75"/>
      <c r="H99" s="49" t="str">
        <f t="shared" si="33"/>
        <v/>
      </c>
      <c r="I99" s="74" t="str">
        <f t="shared" si="32"/>
        <v/>
      </c>
      <c r="J99" s="74"/>
    </row>
    <row r="100">
      <c r="C100" s="72" t="s">
        <v>115</v>
      </c>
      <c r="D100" s="46" t="str">
        <f t="shared" si="30"/>
        <v/>
      </c>
      <c r="E100" s="47" t="str">
        <f t="shared" si="28"/>
        <v/>
      </c>
      <c r="F100" s="47" t="str">
        <f t="shared" si="29"/>
        <v/>
      </c>
      <c r="G100" s="75"/>
      <c r="H100" s="49" t="str">
        <f t="shared" si="33"/>
        <v/>
      </c>
      <c r="I100" s="74" t="str">
        <f t="shared" si="32"/>
        <v/>
      </c>
      <c r="J100" s="74"/>
    </row>
    <row r="101">
      <c r="C101" s="72" t="s">
        <v>116</v>
      </c>
      <c r="D101" s="46" t="str">
        <f t="shared" si="30"/>
        <v/>
      </c>
      <c r="E101" s="47" t="str">
        <f t="shared" si="28"/>
        <v/>
      </c>
      <c r="F101" s="47" t="str">
        <f t="shared" si="29"/>
        <v/>
      </c>
      <c r="G101" s="75"/>
      <c r="H101" s="49" t="str">
        <f t="shared" si="33"/>
        <v/>
      </c>
      <c r="I101" s="74" t="str">
        <f t="shared" si="32"/>
        <v/>
      </c>
      <c r="J101" s="74"/>
    </row>
    <row r="102">
      <c r="C102" s="72" t="s">
        <v>117</v>
      </c>
      <c r="D102" s="46" t="str">
        <f t="shared" si="30"/>
        <v/>
      </c>
      <c r="E102" s="47" t="str">
        <f t="shared" si="28"/>
        <v/>
      </c>
      <c r="F102" s="47" t="str">
        <f t="shared" si="29"/>
        <v/>
      </c>
      <c r="G102" s="75"/>
      <c r="H102" s="49" t="str">
        <f t="shared" si="33"/>
        <v/>
      </c>
      <c r="I102" s="74" t="str">
        <f t="shared" si="32"/>
        <v/>
      </c>
      <c r="J102" s="74"/>
    </row>
    <row r="103">
      <c r="C103" s="72" t="s">
        <v>118</v>
      </c>
      <c r="D103" s="46" t="str">
        <f t="shared" si="30"/>
        <v/>
      </c>
      <c r="E103" s="47" t="str">
        <f t="shared" si="28"/>
        <v/>
      </c>
      <c r="F103" s="47" t="str">
        <f t="shared" si="29"/>
        <v/>
      </c>
      <c r="G103" s="75"/>
      <c r="H103" s="49" t="str">
        <f t="shared" si="33"/>
        <v/>
      </c>
      <c r="I103" s="74" t="str">
        <f t="shared" si="32"/>
        <v/>
      </c>
      <c r="J103" s="74"/>
    </row>
    <row r="104">
      <c r="C104" s="72" t="s">
        <v>119</v>
      </c>
      <c r="D104" s="46" t="str">
        <f t="shared" si="30"/>
        <v/>
      </c>
      <c r="E104" s="47" t="str">
        <f t="shared" si="28"/>
        <v/>
      </c>
      <c r="F104" s="47" t="str">
        <f t="shared" si="29"/>
        <v/>
      </c>
      <c r="G104" s="75"/>
      <c r="H104" s="49" t="str">
        <f t="shared" si="33"/>
        <v/>
      </c>
      <c r="I104" s="74" t="str">
        <f t="shared" si="32"/>
        <v/>
      </c>
      <c r="J104" s="74"/>
    </row>
    <row r="105">
      <c r="C105" s="72" t="s">
        <v>120</v>
      </c>
      <c r="D105" s="46" t="str">
        <f t="shared" si="30"/>
        <v/>
      </c>
      <c r="E105" s="47" t="str">
        <f t="shared" si="28"/>
        <v/>
      </c>
      <c r="F105" s="47" t="str">
        <f t="shared" si="29"/>
        <v/>
      </c>
      <c r="G105" s="75"/>
      <c r="H105" s="49" t="str">
        <f t="shared" si="33"/>
        <v/>
      </c>
      <c r="I105" s="74" t="str">
        <f t="shared" si="32"/>
        <v/>
      </c>
      <c r="J105" s="74"/>
    </row>
    <row r="106">
      <c r="C106" s="72" t="s">
        <v>121</v>
      </c>
      <c r="D106" s="46" t="str">
        <f t="shared" si="30"/>
        <v/>
      </c>
      <c r="E106" s="47" t="str">
        <f t="shared" si="28"/>
        <v/>
      </c>
      <c r="F106" s="47" t="str">
        <f t="shared" si="29"/>
        <v/>
      </c>
      <c r="G106" s="75"/>
      <c r="H106" s="49" t="str">
        <f t="shared" si="33"/>
        <v/>
      </c>
      <c r="I106" s="74" t="str">
        <f t="shared" si="32"/>
        <v/>
      </c>
      <c r="J106" s="74"/>
    </row>
    <row r="107">
      <c r="C107" s="72" t="s">
        <v>122</v>
      </c>
      <c r="D107" s="46" t="str">
        <f t="shared" si="30"/>
        <v/>
      </c>
      <c r="E107" s="47" t="str">
        <f t="shared" si="28"/>
        <v/>
      </c>
      <c r="F107" s="47" t="str">
        <f t="shared" si="29"/>
        <v/>
      </c>
      <c r="G107" s="75"/>
      <c r="H107" s="49" t="str">
        <f t="shared" si="33"/>
        <v/>
      </c>
      <c r="I107" s="74" t="str">
        <f t="shared" si="32"/>
        <v/>
      </c>
      <c r="J107" s="74"/>
    </row>
    <row r="108">
      <c r="C108" s="72" t="s">
        <v>123</v>
      </c>
      <c r="D108" s="46" t="str">
        <f t="shared" si="30"/>
        <v/>
      </c>
      <c r="E108" s="47" t="str">
        <f t="shared" si="28"/>
        <v/>
      </c>
      <c r="F108" s="47" t="str">
        <f t="shared" si="29"/>
        <v/>
      </c>
      <c r="G108" s="75"/>
      <c r="H108" s="49" t="str">
        <f t="shared" si="33"/>
        <v/>
      </c>
      <c r="I108" s="74" t="str">
        <f t="shared" si="32"/>
        <v/>
      </c>
      <c r="J108" s="74"/>
    </row>
    <row r="109">
      <c r="C109" s="72" t="s">
        <v>124</v>
      </c>
      <c r="D109" s="46" t="str">
        <f t="shared" si="30"/>
        <v/>
      </c>
      <c r="E109" s="47" t="str">
        <f t="shared" si="28"/>
        <v/>
      </c>
      <c r="F109" s="47" t="str">
        <f t="shared" si="29"/>
        <v/>
      </c>
      <c r="G109" s="75"/>
      <c r="H109" s="49" t="str">
        <f t="shared" si="33"/>
        <v/>
      </c>
      <c r="I109" s="74" t="str">
        <f t="shared" si="32"/>
        <v/>
      </c>
      <c r="J109" s="74"/>
    </row>
    <row r="110">
      <c r="C110" s="72" t="s">
        <v>125</v>
      </c>
      <c r="D110" s="46" t="str">
        <f t="shared" si="30"/>
        <v/>
      </c>
      <c r="E110" s="47" t="str">
        <f t="shared" si="28"/>
        <v/>
      </c>
      <c r="F110" s="47" t="str">
        <f t="shared" si="29"/>
        <v/>
      </c>
      <c r="G110" s="75"/>
      <c r="H110" s="49" t="str">
        <f t="shared" si="33"/>
        <v/>
      </c>
      <c r="I110" s="74" t="str">
        <f t="shared" si="32"/>
        <v/>
      </c>
      <c r="J110" s="74"/>
    </row>
    <row r="111">
      <c r="C111" s="72" t="s">
        <v>126</v>
      </c>
      <c r="D111" s="46" t="str">
        <f t="shared" si="30"/>
        <v/>
      </c>
      <c r="E111" s="47" t="str">
        <f t="shared" si="28"/>
        <v/>
      </c>
      <c r="F111" s="47" t="str">
        <f t="shared" si="29"/>
        <v/>
      </c>
      <c r="G111" s="75"/>
      <c r="H111" s="49" t="str">
        <f t="shared" si="33"/>
        <v/>
      </c>
      <c r="I111" s="74" t="str">
        <f t="shared" si="32"/>
        <v/>
      </c>
      <c r="J111" s="74"/>
    </row>
    <row r="112">
      <c r="E112" s="55"/>
    </row>
    <row r="113">
      <c r="E113" s="55"/>
    </row>
    <row r="114">
      <c r="E114" s="55"/>
    </row>
    <row r="115">
      <c r="E115" s="55"/>
    </row>
    <row r="116">
      <c r="E116" s="55"/>
    </row>
    <row r="117">
      <c r="E117" s="55"/>
    </row>
    <row r="118">
      <c r="E118" s="55"/>
    </row>
    <row r="119">
      <c r="E119" s="55"/>
    </row>
    <row r="120">
      <c r="E120" s="55"/>
    </row>
  </sheetData>
  <sheetProtection algorithmName="SHA-512" hashValue="CUnKtb6s/RVFHpkdC1yypSXwOM8beMCVAtS/vRd90rE6hkLG/yBFo/Z+hai+xYh5RFfS7vuQBQjjzRlHpgUH0g==" saltValue="49j2IGuEiprq85ZDFgffX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12" activeCellId="0" sqref="G12"/>
    </sheetView>
  </sheetViews>
  <sheetFormatPr defaultRowHeight="15"/>
  <cols>
    <col customWidth="1" min="1" max="1" style="53" width="5.42578125"/>
    <col customWidth="1" min="2" max="2" style="53" width="9"/>
    <col customWidth="1" min="3" max="3" style="53" width="11"/>
    <col customWidth="1" min="4" max="4" style="53" width="21.140625"/>
    <col customWidth="1" min="5" max="6" style="53" width="15.28515625"/>
    <col customWidth="1" min="7" max="7" style="53" width="15.7109375"/>
    <col customWidth="1" min="8" max="8" style="53" width="17.7109375"/>
    <col bestFit="1" customWidth="1" min="9" max="9" style="53" width="10"/>
    <col customWidth="1" min="10" max="10" style="53" width="4.140625"/>
    <col customWidth="1" min="11" max="11" style="53" width="9.85546875"/>
    <col customWidth="1" min="12" max="12" style="53" width="15.140625"/>
    <col min="13" max="13" style="53" width="9.140625"/>
    <col customWidth="1" hidden="1" min="14" max="14" style="53" width="0"/>
    <col customWidth="1" min="15" max="15" style="53" width="5.85546875"/>
    <col min="16" max="16384" style="53" width="9.140625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>
      <c r="B6" s="54"/>
      <c r="E6" s="55"/>
    </row>
    <row r="7" ht="20.25" customHeight="1">
      <c r="D7" s="56" t="s">
        <v>127</v>
      </c>
      <c r="E7" s="55"/>
    </row>
    <row r="8">
      <c r="D8" s="53" t="s">
        <v>7</v>
      </c>
      <c r="E8" s="57">
        <v>20000</v>
      </c>
      <c r="F8" s="58" t="s">
        <v>128</v>
      </c>
      <c r="G8" s="7">
        <v>20000</v>
      </c>
      <c r="K8" s="53" t="s">
        <v>129</v>
      </c>
      <c r="L8" s="60">
        <f>SMALL(H12:H81,1)</f>
        <v>21200</v>
      </c>
    </row>
    <row r="9">
      <c r="D9" s="53" t="s">
        <v>8</v>
      </c>
      <c r="E9" s="76">
        <v>1.5</v>
      </c>
      <c r="F9" s="58" t="s">
        <v>9</v>
      </c>
      <c r="G9" s="24">
        <v>3</v>
      </c>
      <c r="K9" s="53" t="s">
        <v>130</v>
      </c>
      <c r="L9" s="60">
        <f>LARGE(H12:H81,1)</f>
        <v>23800</v>
      </c>
    </row>
    <row r="10" ht="24" customHeight="1">
      <c r="D10" s="62" t="s">
        <v>21</v>
      </c>
      <c r="E10" s="63">
        <f>SUM(G12:G99)</f>
        <v>3800</v>
      </c>
      <c r="F10" s="64">
        <f>IFERROR(E10/E8,"")</f>
        <v>0.19</v>
      </c>
      <c r="G10" s="65" t="s">
        <v>22</v>
      </c>
      <c r="H10" s="64">
        <f>IFERROR(F10/COUNT(D12:D99),"")</f>
        <v>3.7999999999999999e-002</v>
      </c>
      <c r="K10" s="53" t="s">
        <v>131</v>
      </c>
      <c r="L10" s="66">
        <f>COUNT(G12:G81)</f>
        <v>5</v>
      </c>
    </row>
    <row r="11" ht="15.75">
      <c r="D11" s="67" t="s">
        <v>11</v>
      </c>
      <c r="E11" s="68" t="s">
        <v>23</v>
      </c>
      <c r="F11" s="68" t="s">
        <v>132</v>
      </c>
      <c r="G11" s="68" t="s">
        <v>25</v>
      </c>
      <c r="H11" s="69" t="s">
        <v>15</v>
      </c>
      <c r="I11" s="70" t="s">
        <v>26</v>
      </c>
      <c r="J11" s="70"/>
      <c r="K11" s="66" t="s">
        <v>133</v>
      </c>
      <c r="L11" s="71">
        <f>ROUND(L10/4,0)</f>
        <v>1</v>
      </c>
    </row>
    <row r="12">
      <c r="C12" s="72" t="s">
        <v>27</v>
      </c>
      <c r="D12" s="73">
        <v>20000</v>
      </c>
      <c r="E12" s="47">
        <f t="shared" ref="E12:E75" si="34">IFERROR(IF(D12&lt;&gt;"",ROUND(D12/100*$E$9,0),""),"")</f>
        <v>300</v>
      </c>
      <c r="F12" s="47">
        <f t="shared" ref="F12:F75" si="35">IFERROR(IF(D12&lt;&gt;"",ROUND(D12/100*$G$9,0),""),"")</f>
        <v>600</v>
      </c>
      <c r="G12" s="73">
        <v>1200</v>
      </c>
      <c r="H12" s="49">
        <f>D12+G12</f>
        <v>21200</v>
      </c>
      <c r="I12" s="74">
        <f>IF(D12&lt;&gt;"",(H12-D12)/D12,"")</f>
        <v>5.9999999999999998e-002</v>
      </c>
      <c r="J12" s="74"/>
    </row>
    <row r="13">
      <c r="C13" s="72" t="s">
        <v>28</v>
      </c>
      <c r="D13" s="75">
        <f>D12+G12</f>
        <v>21200</v>
      </c>
      <c r="E13" s="47">
        <f t="shared" si="34"/>
        <v>318</v>
      </c>
      <c r="F13" s="47">
        <f t="shared" si="35"/>
        <v>636</v>
      </c>
      <c r="G13" s="75">
        <v>300</v>
      </c>
      <c r="H13" s="49">
        <f t="shared" ref="H13:H76" si="36">IF(D13&lt;&gt;"",D13+G13,"")</f>
        <v>21500</v>
      </c>
      <c r="I13" s="74">
        <f t="shared" ref="I13:I76" si="37">IF(D13&lt;&gt;"",IF(H13&lt;&gt;"",(H13-D13)/D13,""),"")</f>
        <v>1.4150943396226415e-002</v>
      </c>
      <c r="J13" s="74"/>
    </row>
    <row r="14">
      <c r="C14" s="72" t="s">
        <v>29</v>
      </c>
      <c r="D14" s="75">
        <f>D13+G13</f>
        <v>21500</v>
      </c>
      <c r="E14" s="47">
        <f t="shared" si="34"/>
        <v>323</v>
      </c>
      <c r="F14" s="47">
        <f t="shared" si="35"/>
        <v>645</v>
      </c>
      <c r="G14" s="75">
        <v>200</v>
      </c>
      <c r="H14" s="49">
        <f t="shared" si="36"/>
        <v>21700</v>
      </c>
      <c r="I14" s="74">
        <f t="shared" si="37"/>
        <v>9.3023255813953487e-003</v>
      </c>
      <c r="J14" s="74"/>
    </row>
    <row r="15">
      <c r="C15" s="72" t="s">
        <v>30</v>
      </c>
      <c r="D15" s="75">
        <f>D14+G14</f>
        <v>21700</v>
      </c>
      <c r="E15" s="47">
        <f t="shared" si="34"/>
        <v>326</v>
      </c>
      <c r="F15" s="47">
        <f t="shared" si="35"/>
        <v>651</v>
      </c>
      <c r="G15" s="75">
        <v>100</v>
      </c>
      <c r="H15" s="49">
        <f t="shared" si="36"/>
        <v>21800</v>
      </c>
      <c r="I15" s="74">
        <f t="shared" si="37"/>
        <v>4.608294930875576e-003</v>
      </c>
      <c r="J15" s="74"/>
    </row>
    <row r="16">
      <c r="C16" s="72" t="s">
        <v>31</v>
      </c>
      <c r="D16" s="75">
        <f>D15+G15</f>
        <v>21800</v>
      </c>
      <c r="E16" s="47">
        <f t="shared" si="34"/>
        <v>327</v>
      </c>
      <c r="F16" s="47">
        <f t="shared" si="35"/>
        <v>654</v>
      </c>
      <c r="G16" s="75">
        <v>2000</v>
      </c>
      <c r="H16" s="49">
        <f t="shared" si="36"/>
        <v>23800</v>
      </c>
      <c r="I16" s="74">
        <f t="shared" si="37"/>
        <v>9.1743119266055051e-002</v>
      </c>
      <c r="J16" s="74"/>
      <c r="M16" s="54"/>
      <c r="N16" s="54"/>
      <c r="O16" s="54"/>
      <c r="P16" s="54"/>
    </row>
    <row r="17">
      <c r="C17" s="72" t="s">
        <v>32</v>
      </c>
      <c r="D17" s="75"/>
      <c r="E17" s="47" t="str">
        <f t="shared" si="34"/>
        <v/>
      </c>
      <c r="F17" s="47" t="str">
        <f t="shared" si="35"/>
        <v/>
      </c>
      <c r="G17" s="75"/>
      <c r="H17" s="49" t="str">
        <f t="shared" si="36"/>
        <v/>
      </c>
      <c r="I17" s="74" t="str">
        <f t="shared" si="37"/>
        <v/>
      </c>
      <c r="J17" s="74"/>
      <c r="M17" s="54"/>
      <c r="N17" s="54"/>
      <c r="O17" s="54"/>
      <c r="P17" s="54"/>
    </row>
    <row r="18">
      <c r="C18" s="72" t="s">
        <v>33</v>
      </c>
      <c r="D18" s="75"/>
      <c r="E18" s="47" t="str">
        <f t="shared" si="34"/>
        <v/>
      </c>
      <c r="F18" s="47" t="str">
        <f t="shared" si="35"/>
        <v/>
      </c>
      <c r="G18" s="75"/>
      <c r="H18" s="49" t="str">
        <f t="shared" si="36"/>
        <v/>
      </c>
      <c r="I18" s="74" t="str">
        <f t="shared" si="37"/>
        <v/>
      </c>
      <c r="J18" s="74"/>
      <c r="M18" s="54"/>
      <c r="N18" s="54"/>
      <c r="O18" s="54"/>
      <c r="P18" s="54"/>
    </row>
    <row r="19">
      <c r="C19" s="72" t="s">
        <v>34</v>
      </c>
      <c r="D19" s="75"/>
      <c r="E19" s="47" t="str">
        <f t="shared" si="34"/>
        <v/>
      </c>
      <c r="F19" s="47" t="str">
        <f t="shared" si="35"/>
        <v/>
      </c>
      <c r="G19" s="75"/>
      <c r="H19" s="49" t="str">
        <f t="shared" si="36"/>
        <v/>
      </c>
      <c r="I19" s="74" t="str">
        <f t="shared" si="37"/>
        <v/>
      </c>
      <c r="J19" s="74"/>
      <c r="L19" s="54"/>
      <c r="M19" s="54"/>
      <c r="N19" s="54"/>
      <c r="O19" s="54"/>
      <c r="P19" s="54"/>
    </row>
    <row r="20">
      <c r="C20" s="72" t="s">
        <v>35</v>
      </c>
      <c r="D20" s="75"/>
      <c r="E20" s="47" t="str">
        <f t="shared" si="34"/>
        <v/>
      </c>
      <c r="F20" s="47" t="str">
        <f t="shared" si="35"/>
        <v/>
      </c>
      <c r="G20" s="75"/>
      <c r="H20" s="49" t="str">
        <f t="shared" si="36"/>
        <v/>
      </c>
      <c r="I20" s="74" t="str">
        <f t="shared" si="37"/>
        <v/>
      </c>
      <c r="J20" s="74"/>
      <c r="L20" s="54"/>
      <c r="M20" s="54"/>
      <c r="N20" s="54"/>
      <c r="O20" s="54"/>
      <c r="P20" s="54"/>
    </row>
    <row r="21">
      <c r="C21" s="72" t="s">
        <v>36</v>
      </c>
      <c r="D21" s="75"/>
      <c r="E21" s="47" t="str">
        <f t="shared" si="34"/>
        <v/>
      </c>
      <c r="F21" s="47" t="str">
        <f t="shared" si="35"/>
        <v/>
      </c>
      <c r="G21" s="75"/>
      <c r="H21" s="49" t="str">
        <f t="shared" si="36"/>
        <v/>
      </c>
      <c r="I21" s="74" t="str">
        <f t="shared" si="37"/>
        <v/>
      </c>
      <c r="J21" s="74"/>
    </row>
    <row r="22">
      <c r="C22" s="72" t="s">
        <v>37</v>
      </c>
      <c r="D22" s="75"/>
      <c r="E22" s="47" t="str">
        <f t="shared" si="34"/>
        <v/>
      </c>
      <c r="F22" s="47" t="str">
        <f t="shared" si="35"/>
        <v/>
      </c>
      <c r="G22" s="75"/>
      <c r="H22" s="49" t="str">
        <f t="shared" si="36"/>
        <v/>
      </c>
      <c r="I22" s="74" t="str">
        <f t="shared" si="37"/>
        <v/>
      </c>
      <c r="J22" s="74"/>
    </row>
    <row r="23">
      <c r="C23" s="72" t="s">
        <v>38</v>
      </c>
      <c r="D23" s="75"/>
      <c r="E23" s="47" t="str">
        <f t="shared" si="34"/>
        <v/>
      </c>
      <c r="F23" s="47" t="str">
        <f t="shared" si="35"/>
        <v/>
      </c>
      <c r="G23" s="75"/>
      <c r="H23" s="49" t="str">
        <f t="shared" si="36"/>
        <v/>
      </c>
      <c r="I23" s="74" t="str">
        <f t="shared" si="37"/>
        <v/>
      </c>
      <c r="J23" s="74"/>
    </row>
    <row r="24">
      <c r="C24" s="72" t="s">
        <v>39</v>
      </c>
      <c r="D24" s="75"/>
      <c r="E24" s="47" t="str">
        <f t="shared" si="34"/>
        <v/>
      </c>
      <c r="F24" s="47" t="str">
        <f t="shared" si="35"/>
        <v/>
      </c>
      <c r="G24" s="75"/>
      <c r="H24" s="49" t="str">
        <f t="shared" si="36"/>
        <v/>
      </c>
      <c r="I24" s="74" t="str">
        <f t="shared" si="37"/>
        <v/>
      </c>
      <c r="J24" s="74"/>
    </row>
    <row r="25">
      <c r="C25" s="72" t="s">
        <v>40</v>
      </c>
      <c r="D25" s="75"/>
      <c r="E25" s="47" t="str">
        <f t="shared" si="34"/>
        <v/>
      </c>
      <c r="F25" s="47" t="str">
        <f t="shared" si="35"/>
        <v/>
      </c>
      <c r="G25" s="75"/>
      <c r="H25" s="49" t="str">
        <f t="shared" si="36"/>
        <v/>
      </c>
      <c r="I25" s="74" t="str">
        <f t="shared" si="37"/>
        <v/>
      </c>
      <c r="J25" s="74"/>
    </row>
    <row r="26">
      <c r="C26" s="72" t="s">
        <v>41</v>
      </c>
      <c r="D26" s="75"/>
      <c r="E26" s="47" t="str">
        <f t="shared" si="34"/>
        <v/>
      </c>
      <c r="F26" s="47" t="str">
        <f t="shared" si="35"/>
        <v/>
      </c>
      <c r="G26" s="75"/>
      <c r="H26" s="49" t="str">
        <f t="shared" si="36"/>
        <v/>
      </c>
      <c r="I26" s="74" t="str">
        <f t="shared" si="37"/>
        <v/>
      </c>
      <c r="J26" s="74"/>
    </row>
    <row r="27">
      <c r="C27" s="72" t="s">
        <v>42</v>
      </c>
      <c r="D27" s="75"/>
      <c r="E27" s="47" t="str">
        <f t="shared" si="34"/>
        <v/>
      </c>
      <c r="F27" s="47" t="str">
        <f t="shared" si="35"/>
        <v/>
      </c>
      <c r="G27" s="75"/>
      <c r="H27" s="49" t="str">
        <f t="shared" si="36"/>
        <v/>
      </c>
      <c r="I27" s="74" t="str">
        <f t="shared" si="37"/>
        <v/>
      </c>
      <c r="J27" s="74"/>
    </row>
    <row r="28">
      <c r="C28" s="72" t="s">
        <v>43</v>
      </c>
      <c r="D28" s="75"/>
      <c r="E28" s="47" t="str">
        <f t="shared" si="34"/>
        <v/>
      </c>
      <c r="F28" s="47" t="str">
        <f t="shared" si="35"/>
        <v/>
      </c>
      <c r="G28" s="75"/>
      <c r="H28" s="49" t="str">
        <f t="shared" si="36"/>
        <v/>
      </c>
      <c r="I28" s="74" t="str">
        <f t="shared" si="37"/>
        <v/>
      </c>
      <c r="J28" s="74"/>
    </row>
    <row r="29">
      <c r="C29" s="72" t="s">
        <v>44</v>
      </c>
      <c r="D29" s="75"/>
      <c r="E29" s="47" t="str">
        <f t="shared" si="34"/>
        <v/>
      </c>
      <c r="F29" s="47" t="str">
        <f t="shared" si="35"/>
        <v/>
      </c>
      <c r="G29" s="75"/>
      <c r="H29" s="49" t="str">
        <f t="shared" si="36"/>
        <v/>
      </c>
      <c r="I29" s="74" t="str">
        <f t="shared" si="37"/>
        <v/>
      </c>
      <c r="J29" s="74"/>
    </row>
    <row r="30">
      <c r="C30" s="72" t="s">
        <v>45</v>
      </c>
      <c r="D30" s="75"/>
      <c r="E30" s="47" t="str">
        <f t="shared" si="34"/>
        <v/>
      </c>
      <c r="F30" s="47" t="str">
        <f t="shared" si="35"/>
        <v/>
      </c>
      <c r="G30" s="75"/>
      <c r="H30" s="49" t="str">
        <f t="shared" si="36"/>
        <v/>
      </c>
      <c r="I30" s="74" t="str">
        <f t="shared" si="37"/>
        <v/>
      </c>
      <c r="J30" s="74"/>
    </row>
    <row r="31">
      <c r="C31" s="72" t="s">
        <v>46</v>
      </c>
      <c r="D31" s="75"/>
      <c r="E31" s="47" t="str">
        <f t="shared" si="34"/>
        <v/>
      </c>
      <c r="F31" s="47" t="str">
        <f t="shared" si="35"/>
        <v/>
      </c>
      <c r="G31" s="75"/>
      <c r="H31" s="49" t="str">
        <f t="shared" si="36"/>
        <v/>
      </c>
      <c r="I31" s="74" t="str">
        <f t="shared" si="37"/>
        <v/>
      </c>
      <c r="J31" s="74"/>
    </row>
    <row r="32">
      <c r="C32" s="72" t="s">
        <v>47</v>
      </c>
      <c r="D32" s="75"/>
      <c r="E32" s="47" t="str">
        <f t="shared" si="34"/>
        <v/>
      </c>
      <c r="F32" s="47" t="str">
        <f t="shared" si="35"/>
        <v/>
      </c>
      <c r="G32" s="75"/>
      <c r="H32" s="49" t="str">
        <f t="shared" si="36"/>
        <v/>
      </c>
      <c r="I32" s="74" t="str">
        <f t="shared" si="37"/>
        <v/>
      </c>
      <c r="J32" s="74"/>
    </row>
    <row r="33">
      <c r="C33" s="72" t="s">
        <v>48</v>
      </c>
      <c r="D33" s="75"/>
      <c r="E33" s="47" t="str">
        <f t="shared" si="34"/>
        <v/>
      </c>
      <c r="F33" s="47" t="str">
        <f t="shared" si="35"/>
        <v/>
      </c>
      <c r="G33" s="75"/>
      <c r="H33" s="49" t="str">
        <f t="shared" si="36"/>
        <v/>
      </c>
      <c r="I33" s="74" t="str">
        <f t="shared" si="37"/>
        <v/>
      </c>
      <c r="J33" s="74"/>
    </row>
    <row r="34">
      <c r="C34" s="72" t="s">
        <v>49</v>
      </c>
      <c r="D34" s="75"/>
      <c r="E34" s="47" t="str">
        <f t="shared" si="34"/>
        <v/>
      </c>
      <c r="F34" s="47" t="str">
        <f t="shared" si="35"/>
        <v/>
      </c>
      <c r="G34" s="75"/>
      <c r="H34" s="49" t="str">
        <f t="shared" si="36"/>
        <v/>
      </c>
      <c r="I34" s="74" t="str">
        <f t="shared" si="37"/>
        <v/>
      </c>
      <c r="J34" s="74"/>
    </row>
    <row r="35">
      <c r="C35" s="72" t="s">
        <v>50</v>
      </c>
      <c r="D35" s="75"/>
      <c r="E35" s="47" t="str">
        <f t="shared" si="34"/>
        <v/>
      </c>
      <c r="F35" s="47" t="str">
        <f t="shared" si="35"/>
        <v/>
      </c>
      <c r="G35" s="75"/>
      <c r="H35" s="49" t="str">
        <f t="shared" si="36"/>
        <v/>
      </c>
      <c r="I35" s="74" t="str">
        <f t="shared" si="37"/>
        <v/>
      </c>
      <c r="J35" s="74"/>
    </row>
    <row r="36">
      <c r="C36" s="72" t="s">
        <v>51</v>
      </c>
      <c r="D36" s="75"/>
      <c r="E36" s="47" t="str">
        <f t="shared" si="34"/>
        <v/>
      </c>
      <c r="F36" s="47" t="str">
        <f t="shared" si="35"/>
        <v/>
      </c>
      <c r="G36" s="75"/>
      <c r="H36" s="49" t="str">
        <f t="shared" si="36"/>
        <v/>
      </c>
      <c r="I36" s="74" t="str">
        <f t="shared" si="37"/>
        <v/>
      </c>
      <c r="J36" s="74"/>
    </row>
    <row r="37">
      <c r="C37" s="72" t="s">
        <v>52</v>
      </c>
      <c r="D37" s="75"/>
      <c r="E37" s="47" t="str">
        <f t="shared" si="34"/>
        <v/>
      </c>
      <c r="F37" s="47" t="str">
        <f t="shared" si="35"/>
        <v/>
      </c>
      <c r="G37" s="75"/>
      <c r="H37" s="49" t="str">
        <f t="shared" si="36"/>
        <v/>
      </c>
      <c r="I37" s="74" t="str">
        <f t="shared" si="37"/>
        <v/>
      </c>
      <c r="J37" s="74"/>
    </row>
    <row r="38">
      <c r="C38" s="72" t="s">
        <v>53</v>
      </c>
      <c r="D38" s="75"/>
      <c r="E38" s="47" t="str">
        <f t="shared" si="34"/>
        <v/>
      </c>
      <c r="F38" s="47" t="str">
        <f t="shared" si="35"/>
        <v/>
      </c>
      <c r="G38" s="75"/>
      <c r="H38" s="49" t="str">
        <f t="shared" si="36"/>
        <v/>
      </c>
      <c r="I38" s="74" t="str">
        <f t="shared" si="37"/>
        <v/>
      </c>
      <c r="J38" s="74"/>
    </row>
    <row r="39">
      <c r="C39" s="72" t="s">
        <v>54</v>
      </c>
      <c r="D39" s="75"/>
      <c r="E39" s="47" t="str">
        <f t="shared" si="34"/>
        <v/>
      </c>
      <c r="F39" s="47" t="str">
        <f t="shared" si="35"/>
        <v/>
      </c>
      <c r="G39" s="75"/>
      <c r="H39" s="49" t="str">
        <f t="shared" si="36"/>
        <v/>
      </c>
      <c r="I39" s="74" t="str">
        <f t="shared" si="37"/>
        <v/>
      </c>
      <c r="J39" s="74"/>
    </row>
    <row r="40">
      <c r="C40" s="72" t="s">
        <v>55</v>
      </c>
      <c r="D40" s="75"/>
      <c r="E40" s="47" t="str">
        <f t="shared" si="34"/>
        <v/>
      </c>
      <c r="F40" s="47" t="str">
        <f t="shared" si="35"/>
        <v/>
      </c>
      <c r="G40" s="75"/>
      <c r="H40" s="49" t="str">
        <f t="shared" si="36"/>
        <v/>
      </c>
      <c r="I40" s="74" t="str">
        <f t="shared" si="37"/>
        <v/>
      </c>
      <c r="J40" s="74"/>
    </row>
    <row r="41">
      <c r="C41" s="72" t="s">
        <v>56</v>
      </c>
      <c r="D41" s="75"/>
      <c r="E41" s="47" t="str">
        <f t="shared" si="34"/>
        <v/>
      </c>
      <c r="F41" s="47" t="str">
        <f t="shared" si="35"/>
        <v/>
      </c>
      <c r="G41" s="75"/>
      <c r="H41" s="49" t="str">
        <f t="shared" si="36"/>
        <v/>
      </c>
      <c r="I41" s="74" t="str">
        <f t="shared" si="37"/>
        <v/>
      </c>
      <c r="J41" s="74"/>
    </row>
    <row r="42">
      <c r="C42" s="72" t="s">
        <v>57</v>
      </c>
      <c r="D42" s="75"/>
      <c r="E42" s="47" t="str">
        <f t="shared" si="34"/>
        <v/>
      </c>
      <c r="F42" s="47" t="str">
        <f t="shared" si="35"/>
        <v/>
      </c>
      <c r="G42" s="75"/>
      <c r="H42" s="49" t="str">
        <f t="shared" si="36"/>
        <v/>
      </c>
      <c r="I42" s="74" t="str">
        <f t="shared" si="37"/>
        <v/>
      </c>
      <c r="J42" s="74"/>
    </row>
    <row r="43">
      <c r="C43" s="72" t="s">
        <v>58</v>
      </c>
      <c r="D43" s="75"/>
      <c r="E43" s="47" t="str">
        <f t="shared" si="34"/>
        <v/>
      </c>
      <c r="F43" s="47" t="str">
        <f t="shared" si="35"/>
        <v/>
      </c>
      <c r="G43" s="75"/>
      <c r="H43" s="49" t="str">
        <f t="shared" si="36"/>
        <v/>
      </c>
      <c r="I43" s="74" t="str">
        <f t="shared" si="37"/>
        <v/>
      </c>
      <c r="J43" s="74"/>
    </row>
    <row r="44">
      <c r="C44" s="72" t="s">
        <v>59</v>
      </c>
      <c r="D44" s="75"/>
      <c r="E44" s="47" t="str">
        <f t="shared" si="34"/>
        <v/>
      </c>
      <c r="F44" s="47" t="str">
        <f t="shared" si="35"/>
        <v/>
      </c>
      <c r="G44" s="75"/>
      <c r="H44" s="49" t="str">
        <f t="shared" si="36"/>
        <v/>
      </c>
      <c r="I44" s="74" t="str">
        <f t="shared" si="37"/>
        <v/>
      </c>
      <c r="J44" s="74"/>
    </row>
    <row r="45">
      <c r="C45" s="72" t="s">
        <v>60</v>
      </c>
      <c r="D45" s="75"/>
      <c r="E45" s="47" t="str">
        <f t="shared" si="34"/>
        <v/>
      </c>
      <c r="F45" s="47" t="str">
        <f t="shared" si="35"/>
        <v/>
      </c>
      <c r="G45" s="75"/>
      <c r="H45" s="49" t="str">
        <f t="shared" si="36"/>
        <v/>
      </c>
      <c r="I45" s="74" t="str">
        <f t="shared" si="37"/>
        <v/>
      </c>
      <c r="J45" s="74"/>
    </row>
    <row r="46">
      <c r="C46" s="72" t="s">
        <v>61</v>
      </c>
      <c r="D46" s="75"/>
      <c r="E46" s="47" t="str">
        <f t="shared" si="34"/>
        <v/>
      </c>
      <c r="F46" s="47" t="str">
        <f t="shared" si="35"/>
        <v/>
      </c>
      <c r="G46" s="75"/>
      <c r="H46" s="49" t="str">
        <f t="shared" si="36"/>
        <v/>
      </c>
      <c r="I46" s="74" t="str">
        <f t="shared" si="37"/>
        <v/>
      </c>
      <c r="J46" s="74"/>
    </row>
    <row r="47">
      <c r="C47" s="72" t="s">
        <v>62</v>
      </c>
      <c r="D47" s="75"/>
      <c r="E47" s="47" t="str">
        <f t="shared" si="34"/>
        <v/>
      </c>
      <c r="F47" s="47" t="str">
        <f t="shared" si="35"/>
        <v/>
      </c>
      <c r="G47" s="75"/>
      <c r="H47" s="49" t="str">
        <f t="shared" si="36"/>
        <v/>
      </c>
      <c r="I47" s="74" t="str">
        <f t="shared" si="37"/>
        <v/>
      </c>
      <c r="J47" s="74"/>
    </row>
    <row r="48">
      <c r="C48" s="72" t="s">
        <v>63</v>
      </c>
      <c r="D48" s="75"/>
      <c r="E48" s="47" t="str">
        <f t="shared" si="34"/>
        <v/>
      </c>
      <c r="F48" s="47" t="str">
        <f t="shared" si="35"/>
        <v/>
      </c>
      <c r="G48" s="75"/>
      <c r="H48" s="49" t="str">
        <f t="shared" si="36"/>
        <v/>
      </c>
      <c r="I48" s="74" t="str">
        <f t="shared" si="37"/>
        <v/>
      </c>
      <c r="J48" s="74"/>
    </row>
    <row r="49">
      <c r="C49" s="72" t="s">
        <v>64</v>
      </c>
      <c r="D49" s="75"/>
      <c r="E49" s="47" t="str">
        <f t="shared" si="34"/>
        <v/>
      </c>
      <c r="F49" s="47" t="str">
        <f t="shared" si="35"/>
        <v/>
      </c>
      <c r="G49" s="75"/>
      <c r="H49" s="49" t="str">
        <f t="shared" si="36"/>
        <v/>
      </c>
      <c r="I49" s="74" t="str">
        <f t="shared" si="37"/>
        <v/>
      </c>
      <c r="J49" s="74"/>
    </row>
    <row r="50">
      <c r="C50" s="72" t="s">
        <v>65</v>
      </c>
      <c r="D50" s="75"/>
      <c r="E50" s="47" t="str">
        <f t="shared" si="34"/>
        <v/>
      </c>
      <c r="F50" s="47" t="str">
        <f t="shared" si="35"/>
        <v/>
      </c>
      <c r="G50" s="75"/>
      <c r="H50" s="49" t="str">
        <f t="shared" si="36"/>
        <v/>
      </c>
      <c r="I50" s="74" t="str">
        <f t="shared" si="37"/>
        <v/>
      </c>
      <c r="J50" s="74"/>
    </row>
    <row r="51">
      <c r="C51" s="72" t="s">
        <v>66</v>
      </c>
      <c r="D51" s="75"/>
      <c r="E51" s="47" t="str">
        <f t="shared" si="34"/>
        <v/>
      </c>
      <c r="F51" s="47" t="str">
        <f t="shared" si="35"/>
        <v/>
      </c>
      <c r="G51" s="75"/>
      <c r="H51" s="49" t="str">
        <f t="shared" si="36"/>
        <v/>
      </c>
      <c r="I51" s="74" t="str">
        <f t="shared" si="37"/>
        <v/>
      </c>
      <c r="J51" s="74"/>
    </row>
    <row r="52">
      <c r="C52" s="72" t="s">
        <v>67</v>
      </c>
      <c r="D52" s="75"/>
      <c r="E52" s="47" t="str">
        <f t="shared" si="34"/>
        <v/>
      </c>
      <c r="F52" s="47" t="str">
        <f t="shared" si="35"/>
        <v/>
      </c>
      <c r="G52" s="75"/>
      <c r="H52" s="49" t="str">
        <f t="shared" si="36"/>
        <v/>
      </c>
      <c r="I52" s="74" t="str">
        <f t="shared" si="37"/>
        <v/>
      </c>
      <c r="J52" s="74"/>
    </row>
    <row r="53">
      <c r="C53" s="72" t="s">
        <v>68</v>
      </c>
      <c r="D53" s="75"/>
      <c r="E53" s="47" t="str">
        <f t="shared" si="34"/>
        <v/>
      </c>
      <c r="F53" s="47" t="str">
        <f t="shared" si="35"/>
        <v/>
      </c>
      <c r="G53" s="75"/>
      <c r="H53" s="49" t="str">
        <f t="shared" si="36"/>
        <v/>
      </c>
      <c r="I53" s="74" t="str">
        <f t="shared" si="37"/>
        <v/>
      </c>
      <c r="J53" s="74"/>
    </row>
    <row r="54">
      <c r="C54" s="72" t="s">
        <v>69</v>
      </c>
      <c r="D54" s="75"/>
      <c r="E54" s="47" t="str">
        <f t="shared" si="34"/>
        <v/>
      </c>
      <c r="F54" s="47" t="str">
        <f t="shared" si="35"/>
        <v/>
      </c>
      <c r="G54" s="75"/>
      <c r="H54" s="49" t="str">
        <f t="shared" si="36"/>
        <v/>
      </c>
      <c r="I54" s="74" t="str">
        <f t="shared" si="37"/>
        <v/>
      </c>
      <c r="J54" s="74"/>
    </row>
    <row r="55">
      <c r="C55" s="72" t="s">
        <v>70</v>
      </c>
      <c r="D55" s="75"/>
      <c r="E55" s="47" t="str">
        <f t="shared" si="34"/>
        <v/>
      </c>
      <c r="F55" s="47" t="str">
        <f t="shared" si="35"/>
        <v/>
      </c>
      <c r="G55" s="75"/>
      <c r="H55" s="49" t="str">
        <f t="shared" si="36"/>
        <v/>
      </c>
      <c r="I55" s="74" t="str">
        <f t="shared" si="37"/>
        <v/>
      </c>
      <c r="J55" s="74"/>
    </row>
    <row r="56">
      <c r="C56" s="72" t="s">
        <v>71</v>
      </c>
      <c r="D56" s="75"/>
      <c r="E56" s="47" t="str">
        <f t="shared" si="34"/>
        <v/>
      </c>
      <c r="F56" s="47" t="str">
        <f t="shared" si="35"/>
        <v/>
      </c>
      <c r="G56" s="75"/>
      <c r="H56" s="49" t="str">
        <f t="shared" si="36"/>
        <v/>
      </c>
      <c r="I56" s="74" t="str">
        <f t="shared" si="37"/>
        <v/>
      </c>
      <c r="J56" s="74"/>
    </row>
    <row r="57">
      <c r="C57" s="72" t="s">
        <v>72</v>
      </c>
      <c r="D57" s="75"/>
      <c r="E57" s="47" t="str">
        <f t="shared" si="34"/>
        <v/>
      </c>
      <c r="F57" s="47" t="str">
        <f t="shared" si="35"/>
        <v/>
      </c>
      <c r="G57" s="75"/>
      <c r="H57" s="49" t="str">
        <f t="shared" si="36"/>
        <v/>
      </c>
      <c r="I57" s="74" t="str">
        <f t="shared" si="37"/>
        <v/>
      </c>
      <c r="J57" s="74"/>
    </row>
    <row r="58">
      <c r="C58" s="72" t="s">
        <v>73</v>
      </c>
      <c r="D58" s="75"/>
      <c r="E58" s="47" t="str">
        <f t="shared" si="34"/>
        <v/>
      </c>
      <c r="F58" s="47" t="str">
        <f t="shared" si="35"/>
        <v/>
      </c>
      <c r="G58" s="75"/>
      <c r="H58" s="49" t="str">
        <f t="shared" si="36"/>
        <v/>
      </c>
      <c r="I58" s="74" t="str">
        <f t="shared" si="37"/>
        <v/>
      </c>
      <c r="J58" s="74"/>
    </row>
    <row r="59">
      <c r="C59" s="72" t="s">
        <v>74</v>
      </c>
      <c r="D59" s="75"/>
      <c r="E59" s="47" t="str">
        <f t="shared" si="34"/>
        <v/>
      </c>
      <c r="F59" s="47" t="str">
        <f t="shared" si="35"/>
        <v/>
      </c>
      <c r="G59" s="75"/>
      <c r="H59" s="49" t="str">
        <f t="shared" si="36"/>
        <v/>
      </c>
      <c r="I59" s="74" t="str">
        <f t="shared" si="37"/>
        <v/>
      </c>
      <c r="J59" s="74"/>
    </row>
    <row r="60">
      <c r="C60" s="72" t="s">
        <v>75</v>
      </c>
      <c r="D60" s="75"/>
      <c r="E60" s="47" t="str">
        <f t="shared" si="34"/>
        <v/>
      </c>
      <c r="F60" s="47" t="str">
        <f t="shared" si="35"/>
        <v/>
      </c>
      <c r="G60" s="75"/>
      <c r="H60" s="49" t="str">
        <f t="shared" si="36"/>
        <v/>
      </c>
      <c r="I60" s="74" t="str">
        <f t="shared" si="37"/>
        <v/>
      </c>
      <c r="J60" s="74"/>
    </row>
    <row r="61">
      <c r="C61" s="72" t="s">
        <v>76</v>
      </c>
      <c r="D61" s="75"/>
      <c r="E61" s="47" t="str">
        <f t="shared" si="34"/>
        <v/>
      </c>
      <c r="F61" s="47" t="str">
        <f t="shared" si="35"/>
        <v/>
      </c>
      <c r="G61" s="75"/>
      <c r="H61" s="49" t="str">
        <f t="shared" si="36"/>
        <v/>
      </c>
      <c r="I61" s="74" t="str">
        <f t="shared" si="37"/>
        <v/>
      </c>
      <c r="J61" s="74"/>
    </row>
    <row r="62">
      <c r="C62" s="72" t="s">
        <v>77</v>
      </c>
      <c r="D62" s="75"/>
      <c r="E62" s="47" t="str">
        <f t="shared" si="34"/>
        <v/>
      </c>
      <c r="F62" s="47" t="str">
        <f t="shared" si="35"/>
        <v/>
      </c>
      <c r="G62" s="75"/>
      <c r="H62" s="49" t="str">
        <f t="shared" si="36"/>
        <v/>
      </c>
      <c r="I62" s="74" t="str">
        <f t="shared" si="37"/>
        <v/>
      </c>
      <c r="J62" s="74"/>
    </row>
    <row r="63">
      <c r="C63" s="72" t="s">
        <v>78</v>
      </c>
      <c r="D63" s="75"/>
      <c r="E63" s="47" t="str">
        <f t="shared" si="34"/>
        <v/>
      </c>
      <c r="F63" s="47" t="str">
        <f t="shared" si="35"/>
        <v/>
      </c>
      <c r="G63" s="75"/>
      <c r="H63" s="49" t="str">
        <f t="shared" si="36"/>
        <v/>
      </c>
      <c r="I63" s="74" t="str">
        <f t="shared" si="37"/>
        <v/>
      </c>
      <c r="J63" s="74"/>
    </row>
    <row r="64">
      <c r="C64" s="72" t="s">
        <v>79</v>
      </c>
      <c r="D64" s="75"/>
      <c r="E64" s="47" t="str">
        <f t="shared" si="34"/>
        <v/>
      </c>
      <c r="F64" s="47" t="str">
        <f t="shared" si="35"/>
        <v/>
      </c>
      <c r="G64" s="75"/>
      <c r="H64" s="49" t="str">
        <f t="shared" si="36"/>
        <v/>
      </c>
      <c r="I64" s="74" t="str">
        <f t="shared" si="37"/>
        <v/>
      </c>
      <c r="J64" s="74"/>
    </row>
    <row r="65">
      <c r="C65" s="72" t="s">
        <v>80</v>
      </c>
      <c r="D65" s="75"/>
      <c r="E65" s="47" t="str">
        <f t="shared" si="34"/>
        <v/>
      </c>
      <c r="F65" s="47" t="str">
        <f t="shared" si="35"/>
        <v/>
      </c>
      <c r="G65" s="75"/>
      <c r="H65" s="49" t="str">
        <f t="shared" si="36"/>
        <v/>
      </c>
      <c r="I65" s="74" t="str">
        <f t="shared" si="37"/>
        <v/>
      </c>
      <c r="J65" s="74"/>
    </row>
    <row r="66">
      <c r="C66" s="72" t="s">
        <v>81</v>
      </c>
      <c r="D66" s="75"/>
      <c r="E66" s="47" t="str">
        <f t="shared" si="34"/>
        <v/>
      </c>
      <c r="F66" s="47" t="str">
        <f t="shared" si="35"/>
        <v/>
      </c>
      <c r="G66" s="75"/>
      <c r="H66" s="49" t="str">
        <f t="shared" si="36"/>
        <v/>
      </c>
      <c r="I66" s="74" t="str">
        <f t="shared" si="37"/>
        <v/>
      </c>
      <c r="J66" s="74"/>
    </row>
    <row r="67">
      <c r="C67" s="72" t="s">
        <v>82</v>
      </c>
      <c r="D67" s="75"/>
      <c r="E67" s="47" t="str">
        <f t="shared" si="34"/>
        <v/>
      </c>
      <c r="F67" s="47" t="str">
        <f t="shared" si="35"/>
        <v/>
      </c>
      <c r="G67" s="75"/>
      <c r="H67" s="49" t="str">
        <f t="shared" si="36"/>
        <v/>
      </c>
      <c r="I67" s="74" t="str">
        <f t="shared" si="37"/>
        <v/>
      </c>
      <c r="J67" s="74"/>
    </row>
    <row r="68">
      <c r="C68" s="72" t="s">
        <v>83</v>
      </c>
      <c r="D68" s="75"/>
      <c r="E68" s="47" t="str">
        <f t="shared" si="34"/>
        <v/>
      </c>
      <c r="F68" s="47" t="str">
        <f t="shared" si="35"/>
        <v/>
      </c>
      <c r="G68" s="75"/>
      <c r="H68" s="49" t="str">
        <f t="shared" si="36"/>
        <v/>
      </c>
      <c r="I68" s="74" t="str">
        <f t="shared" si="37"/>
        <v/>
      </c>
      <c r="J68" s="74"/>
    </row>
    <row r="69">
      <c r="C69" s="72" t="s">
        <v>84</v>
      </c>
      <c r="D69" s="75"/>
      <c r="E69" s="47" t="str">
        <f t="shared" si="34"/>
        <v/>
      </c>
      <c r="F69" s="47" t="str">
        <f t="shared" si="35"/>
        <v/>
      </c>
      <c r="G69" s="75"/>
      <c r="H69" s="49" t="str">
        <f t="shared" si="36"/>
        <v/>
      </c>
      <c r="I69" s="74" t="str">
        <f t="shared" si="37"/>
        <v/>
      </c>
      <c r="J69" s="74"/>
    </row>
    <row r="70">
      <c r="C70" s="72" t="s">
        <v>85</v>
      </c>
      <c r="D70" s="75"/>
      <c r="E70" s="47" t="str">
        <f t="shared" si="34"/>
        <v/>
      </c>
      <c r="F70" s="47" t="str">
        <f t="shared" si="35"/>
        <v/>
      </c>
      <c r="G70" s="75"/>
      <c r="H70" s="49" t="str">
        <f t="shared" si="36"/>
        <v/>
      </c>
      <c r="I70" s="74" t="str">
        <f t="shared" si="37"/>
        <v/>
      </c>
      <c r="J70" s="74"/>
    </row>
    <row r="71">
      <c r="C71" s="72" t="s">
        <v>86</v>
      </c>
      <c r="D71" s="75"/>
      <c r="E71" s="47" t="str">
        <f t="shared" si="34"/>
        <v/>
      </c>
      <c r="F71" s="47" t="str">
        <f t="shared" si="35"/>
        <v/>
      </c>
      <c r="G71" s="75"/>
      <c r="H71" s="49" t="str">
        <f t="shared" si="36"/>
        <v/>
      </c>
      <c r="I71" s="74" t="str">
        <f t="shared" si="37"/>
        <v/>
      </c>
      <c r="J71" s="74"/>
    </row>
    <row r="72">
      <c r="C72" s="72" t="s">
        <v>87</v>
      </c>
      <c r="D72" s="75"/>
      <c r="E72" s="47" t="str">
        <f t="shared" si="34"/>
        <v/>
      </c>
      <c r="F72" s="47" t="str">
        <f t="shared" si="35"/>
        <v/>
      </c>
      <c r="G72" s="75"/>
      <c r="H72" s="49" t="str">
        <f t="shared" si="36"/>
        <v/>
      </c>
      <c r="I72" s="74" t="str">
        <f t="shared" si="37"/>
        <v/>
      </c>
      <c r="J72" s="74"/>
    </row>
    <row r="73">
      <c r="C73" s="72" t="s">
        <v>88</v>
      </c>
      <c r="D73" s="75"/>
      <c r="E73" s="47" t="str">
        <f t="shared" si="34"/>
        <v/>
      </c>
      <c r="F73" s="47" t="str">
        <f t="shared" si="35"/>
        <v/>
      </c>
      <c r="G73" s="75"/>
      <c r="H73" s="49" t="str">
        <f t="shared" si="36"/>
        <v/>
      </c>
      <c r="I73" s="74" t="str">
        <f t="shared" si="37"/>
        <v/>
      </c>
      <c r="J73" s="74"/>
    </row>
    <row r="74">
      <c r="C74" s="72" t="s">
        <v>89</v>
      </c>
      <c r="D74" s="75"/>
      <c r="E74" s="47" t="str">
        <f t="shared" si="34"/>
        <v/>
      </c>
      <c r="F74" s="47" t="str">
        <f t="shared" si="35"/>
        <v/>
      </c>
      <c r="G74" s="75"/>
      <c r="H74" s="49" t="str">
        <f t="shared" si="36"/>
        <v/>
      </c>
      <c r="I74" s="74" t="str">
        <f t="shared" si="37"/>
        <v/>
      </c>
      <c r="J74" s="74"/>
    </row>
    <row r="75">
      <c r="C75" s="72" t="s">
        <v>90</v>
      </c>
      <c r="D75" s="75"/>
      <c r="E75" s="47" t="str">
        <f t="shared" si="34"/>
        <v/>
      </c>
      <c r="F75" s="47" t="str">
        <f t="shared" si="35"/>
        <v/>
      </c>
      <c r="G75" s="75"/>
      <c r="H75" s="49" t="str">
        <f t="shared" si="36"/>
        <v/>
      </c>
      <c r="I75" s="74" t="str">
        <f t="shared" si="37"/>
        <v/>
      </c>
      <c r="J75" s="74"/>
    </row>
    <row r="76">
      <c r="C76" s="72" t="s">
        <v>91</v>
      </c>
      <c r="D76" s="75"/>
      <c r="E76" s="47" t="str">
        <f t="shared" ref="E76:E111" si="38">IFERROR(IF(D76&lt;&gt;"",ROUND(D76/100*$E$9,0),""),"")</f>
        <v/>
      </c>
      <c r="F76" s="47" t="str">
        <f t="shared" ref="F76:F111" si="39">IFERROR(IF(D76&lt;&gt;"",ROUND(D76/100*$G$9,0),""),"")</f>
        <v/>
      </c>
      <c r="G76" s="75"/>
      <c r="H76" s="49" t="str">
        <f t="shared" si="36"/>
        <v/>
      </c>
      <c r="I76" s="74" t="str">
        <f t="shared" si="37"/>
        <v/>
      </c>
      <c r="J76" s="74"/>
    </row>
    <row r="77">
      <c r="C77" s="72" t="s">
        <v>92</v>
      </c>
      <c r="D77" s="75"/>
      <c r="E77" s="47" t="str">
        <f t="shared" si="38"/>
        <v/>
      </c>
      <c r="F77" s="47" t="str">
        <f t="shared" si="39"/>
        <v/>
      </c>
      <c r="G77" s="75"/>
      <c r="H77" s="49" t="str">
        <f t="shared" ref="H77:H86" si="40">IF(D77&lt;&gt;"",D77+G77,"")</f>
        <v/>
      </c>
      <c r="I77" s="74" t="str">
        <f t="shared" ref="I77:I111" si="41">IF(D77&lt;&gt;"",IF(H77&lt;&gt;"",(H77-D77)/D77,""),"")</f>
        <v/>
      </c>
      <c r="J77" s="74"/>
    </row>
    <row r="78">
      <c r="C78" s="72" t="s">
        <v>93</v>
      </c>
      <c r="D78" s="75"/>
      <c r="E78" s="47" t="str">
        <f t="shared" si="38"/>
        <v/>
      </c>
      <c r="F78" s="47" t="str">
        <f t="shared" si="39"/>
        <v/>
      </c>
      <c r="G78" s="75"/>
      <c r="H78" s="49" t="str">
        <f t="shared" si="40"/>
        <v/>
      </c>
      <c r="I78" s="74" t="str">
        <f t="shared" si="41"/>
        <v/>
      </c>
      <c r="J78" s="74"/>
    </row>
    <row r="79">
      <c r="C79" s="72" t="s">
        <v>94</v>
      </c>
      <c r="D79" s="75"/>
      <c r="E79" s="47" t="str">
        <f t="shared" si="38"/>
        <v/>
      </c>
      <c r="F79" s="47" t="str">
        <f t="shared" si="39"/>
        <v/>
      </c>
      <c r="G79" s="75"/>
      <c r="H79" s="49" t="str">
        <f t="shared" si="40"/>
        <v/>
      </c>
      <c r="I79" s="74" t="str">
        <f t="shared" si="41"/>
        <v/>
      </c>
      <c r="J79" s="74"/>
    </row>
    <row r="80">
      <c r="C80" s="72" t="s">
        <v>95</v>
      </c>
      <c r="D80" s="75"/>
      <c r="E80" s="47" t="str">
        <f t="shared" si="38"/>
        <v/>
      </c>
      <c r="F80" s="47" t="str">
        <f t="shared" si="39"/>
        <v/>
      </c>
      <c r="G80" s="75"/>
      <c r="H80" s="49" t="str">
        <f t="shared" si="40"/>
        <v/>
      </c>
      <c r="I80" s="74" t="str">
        <f t="shared" si="41"/>
        <v/>
      </c>
      <c r="J80" s="74"/>
    </row>
    <row r="81">
      <c r="C81" s="72" t="s">
        <v>96</v>
      </c>
      <c r="D81" s="75"/>
      <c r="E81" s="47" t="str">
        <f t="shared" si="38"/>
        <v/>
      </c>
      <c r="F81" s="47" t="str">
        <f t="shared" si="39"/>
        <v/>
      </c>
      <c r="G81" s="75"/>
      <c r="H81" s="49" t="str">
        <f t="shared" si="40"/>
        <v/>
      </c>
      <c r="I81" s="74" t="str">
        <f t="shared" si="41"/>
        <v/>
      </c>
      <c r="J81" s="74"/>
    </row>
    <row r="82">
      <c r="C82" s="72" t="s">
        <v>97</v>
      </c>
      <c r="D82" s="75"/>
      <c r="E82" s="47" t="str">
        <f t="shared" si="38"/>
        <v/>
      </c>
      <c r="F82" s="47" t="str">
        <f t="shared" si="39"/>
        <v/>
      </c>
      <c r="G82" s="75"/>
      <c r="H82" s="49" t="str">
        <f t="shared" si="40"/>
        <v/>
      </c>
      <c r="I82" s="74" t="str">
        <f t="shared" si="41"/>
        <v/>
      </c>
      <c r="J82" s="74"/>
    </row>
    <row r="83">
      <c r="C83" s="72" t="s">
        <v>98</v>
      </c>
      <c r="D83" s="75"/>
      <c r="E83" s="47" t="str">
        <f t="shared" si="38"/>
        <v/>
      </c>
      <c r="F83" s="47" t="str">
        <f t="shared" si="39"/>
        <v/>
      </c>
      <c r="G83" s="75"/>
      <c r="H83" s="49" t="str">
        <f t="shared" si="40"/>
        <v/>
      </c>
      <c r="I83" s="74" t="str">
        <f t="shared" si="41"/>
        <v/>
      </c>
      <c r="J83" s="74"/>
    </row>
    <row r="84">
      <c r="C84" s="72" t="s">
        <v>99</v>
      </c>
      <c r="D84" s="75"/>
      <c r="E84" s="47" t="str">
        <f t="shared" si="38"/>
        <v/>
      </c>
      <c r="F84" s="47" t="str">
        <f t="shared" si="39"/>
        <v/>
      </c>
      <c r="G84" s="75"/>
      <c r="H84" s="49" t="str">
        <f t="shared" si="40"/>
        <v/>
      </c>
      <c r="I84" s="74" t="str">
        <f t="shared" si="41"/>
        <v/>
      </c>
      <c r="J84" s="74"/>
    </row>
    <row r="85">
      <c r="C85" s="72" t="s">
        <v>100</v>
      </c>
      <c r="D85" s="75"/>
      <c r="E85" s="47" t="str">
        <f t="shared" si="38"/>
        <v/>
      </c>
      <c r="F85" s="47" t="str">
        <f t="shared" si="39"/>
        <v/>
      </c>
      <c r="G85" s="75"/>
      <c r="H85" s="49" t="str">
        <f t="shared" si="40"/>
        <v/>
      </c>
      <c r="I85" s="74" t="str">
        <f t="shared" si="41"/>
        <v/>
      </c>
      <c r="J85" s="74"/>
    </row>
    <row r="86">
      <c r="C86" s="72" t="s">
        <v>101</v>
      </c>
      <c r="D86" s="75"/>
      <c r="E86" s="47" t="str">
        <f t="shared" si="38"/>
        <v/>
      </c>
      <c r="F86" s="47" t="str">
        <f t="shared" si="39"/>
        <v/>
      </c>
      <c r="G86" s="75"/>
      <c r="H86" s="49" t="str">
        <f t="shared" si="40"/>
        <v/>
      </c>
      <c r="I86" s="74" t="str">
        <f t="shared" si="41"/>
        <v/>
      </c>
      <c r="J86" s="74"/>
    </row>
    <row r="87">
      <c r="C87" s="72" t="s">
        <v>102</v>
      </c>
      <c r="D87" s="75"/>
      <c r="E87" s="47" t="str">
        <f t="shared" si="38"/>
        <v/>
      </c>
      <c r="F87" s="47" t="str">
        <f t="shared" si="39"/>
        <v/>
      </c>
      <c r="G87" s="75"/>
      <c r="H87" s="49" t="str">
        <f t="shared" ref="H87:H111" si="42">IF(D87&lt;&gt;"",D87+G87,H86)</f>
        <v/>
      </c>
      <c r="I87" s="74" t="str">
        <f t="shared" si="41"/>
        <v/>
      </c>
      <c r="J87" s="74"/>
    </row>
    <row r="88">
      <c r="C88" s="72" t="s">
        <v>103</v>
      </c>
      <c r="D88" s="75"/>
      <c r="E88" s="47" t="str">
        <f t="shared" si="38"/>
        <v/>
      </c>
      <c r="F88" s="47" t="str">
        <f t="shared" si="39"/>
        <v/>
      </c>
      <c r="G88" s="75"/>
      <c r="H88" s="49" t="str">
        <f t="shared" si="42"/>
        <v/>
      </c>
      <c r="I88" s="74" t="str">
        <f t="shared" si="41"/>
        <v/>
      </c>
      <c r="J88" s="74"/>
    </row>
    <row r="89">
      <c r="C89" s="72" t="s">
        <v>104</v>
      </c>
      <c r="D89" s="75"/>
      <c r="E89" s="47" t="str">
        <f t="shared" si="38"/>
        <v/>
      </c>
      <c r="F89" s="47" t="str">
        <f t="shared" si="39"/>
        <v/>
      </c>
      <c r="G89" s="75"/>
      <c r="H89" s="49" t="str">
        <f t="shared" si="42"/>
        <v/>
      </c>
      <c r="I89" s="74" t="str">
        <f t="shared" si="41"/>
        <v/>
      </c>
      <c r="J89" s="74"/>
    </row>
    <row r="90">
      <c r="C90" s="72" t="s">
        <v>105</v>
      </c>
      <c r="D90" s="75"/>
      <c r="E90" s="47" t="str">
        <f t="shared" si="38"/>
        <v/>
      </c>
      <c r="F90" s="47" t="str">
        <f t="shared" si="39"/>
        <v/>
      </c>
      <c r="G90" s="75"/>
      <c r="H90" s="49" t="str">
        <f t="shared" si="42"/>
        <v/>
      </c>
      <c r="I90" s="74" t="str">
        <f t="shared" si="41"/>
        <v/>
      </c>
      <c r="J90" s="74"/>
    </row>
    <row r="91">
      <c r="C91" s="72" t="s">
        <v>106</v>
      </c>
      <c r="D91" s="75"/>
      <c r="E91" s="47" t="str">
        <f t="shared" si="38"/>
        <v/>
      </c>
      <c r="F91" s="47" t="str">
        <f t="shared" si="39"/>
        <v/>
      </c>
      <c r="G91" s="75"/>
      <c r="H91" s="49" t="str">
        <f t="shared" si="42"/>
        <v/>
      </c>
      <c r="I91" s="74" t="str">
        <f t="shared" si="41"/>
        <v/>
      </c>
      <c r="J91" s="74"/>
    </row>
    <row r="92">
      <c r="C92" s="72" t="s">
        <v>107</v>
      </c>
      <c r="D92" s="75"/>
      <c r="E92" s="47" t="str">
        <f t="shared" si="38"/>
        <v/>
      </c>
      <c r="F92" s="47" t="str">
        <f t="shared" si="39"/>
        <v/>
      </c>
      <c r="G92" s="75"/>
      <c r="H92" s="49" t="str">
        <f t="shared" si="42"/>
        <v/>
      </c>
      <c r="I92" s="74" t="str">
        <f t="shared" si="41"/>
        <v/>
      </c>
      <c r="J92" s="74"/>
    </row>
    <row r="93">
      <c r="C93" s="72" t="s">
        <v>108</v>
      </c>
      <c r="D93" s="75"/>
      <c r="E93" s="47" t="str">
        <f t="shared" si="38"/>
        <v/>
      </c>
      <c r="F93" s="47" t="str">
        <f t="shared" si="39"/>
        <v/>
      </c>
      <c r="G93" s="75"/>
      <c r="H93" s="49" t="str">
        <f t="shared" si="42"/>
        <v/>
      </c>
      <c r="I93" s="74" t="str">
        <f t="shared" si="41"/>
        <v/>
      </c>
      <c r="J93" s="74"/>
    </row>
    <row r="94">
      <c r="C94" s="72" t="s">
        <v>109</v>
      </c>
      <c r="D94" s="75"/>
      <c r="E94" s="47" t="str">
        <f t="shared" si="38"/>
        <v/>
      </c>
      <c r="F94" s="47" t="str">
        <f t="shared" si="39"/>
        <v/>
      </c>
      <c r="G94" s="75"/>
      <c r="H94" s="49" t="str">
        <f t="shared" si="42"/>
        <v/>
      </c>
      <c r="I94" s="74" t="str">
        <f t="shared" si="41"/>
        <v/>
      </c>
      <c r="J94" s="74"/>
    </row>
    <row r="95">
      <c r="C95" s="72" t="s">
        <v>110</v>
      </c>
      <c r="D95" s="75"/>
      <c r="E95" s="47" t="str">
        <f t="shared" si="38"/>
        <v/>
      </c>
      <c r="F95" s="47" t="str">
        <f t="shared" si="39"/>
        <v/>
      </c>
      <c r="G95" s="75"/>
      <c r="H95" s="49" t="str">
        <f t="shared" si="42"/>
        <v/>
      </c>
      <c r="I95" s="74" t="str">
        <f t="shared" si="41"/>
        <v/>
      </c>
      <c r="J95" s="74"/>
    </row>
    <row r="96">
      <c r="C96" s="72" t="s">
        <v>111</v>
      </c>
      <c r="D96" s="75"/>
      <c r="E96" s="47" t="str">
        <f t="shared" si="38"/>
        <v/>
      </c>
      <c r="F96" s="47" t="str">
        <f t="shared" si="39"/>
        <v/>
      </c>
      <c r="G96" s="75"/>
      <c r="H96" s="49" t="str">
        <f t="shared" si="42"/>
        <v/>
      </c>
      <c r="I96" s="74" t="str">
        <f t="shared" si="41"/>
        <v/>
      </c>
      <c r="J96" s="74"/>
    </row>
    <row r="97">
      <c r="C97" s="72" t="s">
        <v>112</v>
      </c>
      <c r="D97" s="75"/>
      <c r="E97" s="47" t="str">
        <f t="shared" si="38"/>
        <v/>
      </c>
      <c r="F97" s="47" t="str">
        <f t="shared" si="39"/>
        <v/>
      </c>
      <c r="G97" s="75"/>
      <c r="H97" s="49" t="str">
        <f t="shared" si="42"/>
        <v/>
      </c>
      <c r="I97" s="74" t="str">
        <f t="shared" si="41"/>
        <v/>
      </c>
      <c r="J97" s="74"/>
    </row>
    <row r="98">
      <c r="C98" s="72" t="s">
        <v>113</v>
      </c>
      <c r="D98" s="75"/>
      <c r="E98" s="47" t="str">
        <f t="shared" si="38"/>
        <v/>
      </c>
      <c r="F98" s="47" t="str">
        <f t="shared" si="39"/>
        <v/>
      </c>
      <c r="G98" s="75"/>
      <c r="H98" s="49" t="str">
        <f t="shared" si="42"/>
        <v/>
      </c>
      <c r="I98" s="74" t="str">
        <f t="shared" si="41"/>
        <v/>
      </c>
      <c r="J98" s="74"/>
    </row>
    <row r="99">
      <c r="C99" s="72" t="s">
        <v>114</v>
      </c>
      <c r="D99" s="75"/>
      <c r="E99" s="47" t="str">
        <f t="shared" si="38"/>
        <v/>
      </c>
      <c r="F99" s="47" t="str">
        <f t="shared" si="39"/>
        <v/>
      </c>
      <c r="G99" s="75"/>
      <c r="H99" s="49" t="str">
        <f t="shared" si="42"/>
        <v/>
      </c>
      <c r="I99" s="74" t="str">
        <f t="shared" si="41"/>
        <v/>
      </c>
      <c r="J99" s="74"/>
    </row>
    <row r="100">
      <c r="C100" s="72" t="s">
        <v>115</v>
      </c>
      <c r="D100" s="75"/>
      <c r="E100" s="47" t="str">
        <f t="shared" si="38"/>
        <v/>
      </c>
      <c r="F100" s="47" t="str">
        <f t="shared" si="39"/>
        <v/>
      </c>
      <c r="G100" s="75"/>
      <c r="H100" s="49" t="str">
        <f t="shared" si="42"/>
        <v/>
      </c>
      <c r="I100" s="74" t="str">
        <f t="shared" si="41"/>
        <v/>
      </c>
      <c r="J100" s="74"/>
    </row>
    <row r="101">
      <c r="C101" s="72" t="s">
        <v>116</v>
      </c>
      <c r="D101" s="75"/>
      <c r="E101" s="47" t="str">
        <f t="shared" si="38"/>
        <v/>
      </c>
      <c r="F101" s="47" t="str">
        <f t="shared" si="39"/>
        <v/>
      </c>
      <c r="G101" s="75"/>
      <c r="H101" s="49" t="str">
        <f t="shared" si="42"/>
        <v/>
      </c>
      <c r="I101" s="74" t="str">
        <f t="shared" si="41"/>
        <v/>
      </c>
      <c r="J101" s="74"/>
    </row>
    <row r="102">
      <c r="C102" s="72" t="s">
        <v>117</v>
      </c>
      <c r="D102" s="75"/>
      <c r="E102" s="47" t="str">
        <f t="shared" si="38"/>
        <v/>
      </c>
      <c r="F102" s="47" t="str">
        <f t="shared" si="39"/>
        <v/>
      </c>
      <c r="G102" s="75"/>
      <c r="H102" s="49" t="str">
        <f t="shared" si="42"/>
        <v/>
      </c>
      <c r="I102" s="74" t="str">
        <f t="shared" si="41"/>
        <v/>
      </c>
      <c r="J102" s="74"/>
    </row>
    <row r="103">
      <c r="C103" s="72" t="s">
        <v>118</v>
      </c>
      <c r="D103" s="75"/>
      <c r="E103" s="47" t="str">
        <f t="shared" si="38"/>
        <v/>
      </c>
      <c r="F103" s="47" t="str">
        <f t="shared" si="39"/>
        <v/>
      </c>
      <c r="G103" s="75"/>
      <c r="H103" s="49" t="str">
        <f t="shared" si="42"/>
        <v/>
      </c>
      <c r="I103" s="74" t="str">
        <f t="shared" si="41"/>
        <v/>
      </c>
      <c r="J103" s="74"/>
    </row>
    <row r="104">
      <c r="C104" s="72" t="s">
        <v>119</v>
      </c>
      <c r="D104" s="75"/>
      <c r="E104" s="47" t="str">
        <f t="shared" si="38"/>
        <v/>
      </c>
      <c r="F104" s="47" t="str">
        <f t="shared" si="39"/>
        <v/>
      </c>
      <c r="G104" s="75"/>
      <c r="H104" s="49" t="str">
        <f t="shared" si="42"/>
        <v/>
      </c>
      <c r="I104" s="74" t="str">
        <f t="shared" si="41"/>
        <v/>
      </c>
      <c r="J104" s="74"/>
    </row>
    <row r="105">
      <c r="C105" s="72" t="s">
        <v>120</v>
      </c>
      <c r="D105" s="75"/>
      <c r="E105" s="47" t="str">
        <f t="shared" si="38"/>
        <v/>
      </c>
      <c r="F105" s="47" t="str">
        <f t="shared" si="39"/>
        <v/>
      </c>
      <c r="G105" s="75"/>
      <c r="H105" s="49" t="str">
        <f t="shared" si="42"/>
        <v/>
      </c>
      <c r="I105" s="74" t="str">
        <f t="shared" si="41"/>
        <v/>
      </c>
      <c r="J105" s="74"/>
    </row>
    <row r="106">
      <c r="C106" s="72" t="s">
        <v>121</v>
      </c>
      <c r="D106" s="75"/>
      <c r="E106" s="47" t="str">
        <f t="shared" si="38"/>
        <v/>
      </c>
      <c r="F106" s="47" t="str">
        <f t="shared" si="39"/>
        <v/>
      </c>
      <c r="G106" s="75"/>
      <c r="H106" s="49" t="str">
        <f t="shared" si="42"/>
        <v/>
      </c>
      <c r="I106" s="74" t="str">
        <f t="shared" si="41"/>
        <v/>
      </c>
      <c r="J106" s="74"/>
    </row>
    <row r="107">
      <c r="C107" s="72" t="s">
        <v>122</v>
      </c>
      <c r="D107" s="75"/>
      <c r="E107" s="47" t="str">
        <f t="shared" si="38"/>
        <v/>
      </c>
      <c r="F107" s="47" t="str">
        <f t="shared" si="39"/>
        <v/>
      </c>
      <c r="G107" s="75"/>
      <c r="H107" s="49" t="str">
        <f t="shared" si="42"/>
        <v/>
      </c>
      <c r="I107" s="74" t="str">
        <f t="shared" si="41"/>
        <v/>
      </c>
      <c r="J107" s="74"/>
    </row>
    <row r="108">
      <c r="C108" s="72" t="s">
        <v>123</v>
      </c>
      <c r="D108" s="75"/>
      <c r="E108" s="47" t="str">
        <f t="shared" si="38"/>
        <v/>
      </c>
      <c r="F108" s="47" t="str">
        <f t="shared" si="39"/>
        <v/>
      </c>
      <c r="G108" s="75"/>
      <c r="H108" s="49" t="str">
        <f t="shared" si="42"/>
        <v/>
      </c>
      <c r="I108" s="74" t="str">
        <f t="shared" si="41"/>
        <v/>
      </c>
      <c r="J108" s="74"/>
    </row>
    <row r="109">
      <c r="C109" s="72" t="s">
        <v>124</v>
      </c>
      <c r="D109" s="75"/>
      <c r="E109" s="47" t="str">
        <f t="shared" si="38"/>
        <v/>
      </c>
      <c r="F109" s="47" t="str">
        <f t="shared" si="39"/>
        <v/>
      </c>
      <c r="G109" s="75"/>
      <c r="H109" s="49" t="str">
        <f t="shared" si="42"/>
        <v/>
      </c>
      <c r="I109" s="74" t="str">
        <f t="shared" si="41"/>
        <v/>
      </c>
      <c r="J109" s="74"/>
    </row>
    <row r="110">
      <c r="C110" s="72" t="s">
        <v>125</v>
      </c>
      <c r="D110" s="75"/>
      <c r="E110" s="47" t="str">
        <f t="shared" si="38"/>
        <v/>
      </c>
      <c r="F110" s="47" t="str">
        <f t="shared" si="39"/>
        <v/>
      </c>
      <c r="G110" s="75"/>
      <c r="H110" s="49" t="str">
        <f t="shared" si="42"/>
        <v/>
      </c>
      <c r="I110" s="74" t="str">
        <f t="shared" si="41"/>
        <v/>
      </c>
      <c r="J110" s="74"/>
    </row>
    <row r="111">
      <c r="C111" s="72" t="s">
        <v>126</v>
      </c>
      <c r="D111" s="75"/>
      <c r="E111" s="47" t="str">
        <f t="shared" si="38"/>
        <v/>
      </c>
      <c r="F111" s="47" t="str">
        <f t="shared" si="39"/>
        <v/>
      </c>
      <c r="G111" s="75"/>
      <c r="H111" s="49" t="str">
        <f t="shared" si="42"/>
        <v/>
      </c>
      <c r="I111" s="74" t="str">
        <f t="shared" si="41"/>
        <v/>
      </c>
      <c r="J111" s="74"/>
    </row>
    <row r="112">
      <c r="E112" s="55"/>
    </row>
    <row r="113">
      <c r="E113" s="55"/>
    </row>
    <row r="114">
      <c r="E114" s="55"/>
    </row>
    <row r="115">
      <c r="E115" s="55"/>
    </row>
    <row r="116">
      <c r="E116" s="55"/>
    </row>
    <row r="117">
      <c r="E117" s="55"/>
    </row>
    <row r="118">
      <c r="E118" s="55"/>
    </row>
    <row r="119">
      <c r="E119" s="55"/>
    </row>
    <row r="120">
      <c r="E120" s="55"/>
    </row>
  </sheetData>
  <sheetProtection algorithmName="SHA-512" hashValue="SHYzh//f6z/nFP7Msodnz25X52/DzPuiAjo7vG3hpeta1NyuxCCKn+zesfsB+cTLRVgxPNbtXkubf2UHMoBCxg==" saltValue="DYYbjcOjQklsDNfcGG9hrA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D0094-0094-4B2A-891D-009000FF006A}">
            <xm:f>IF($H12&lt;&gt;"",$H12&gt;$G$8,0)</xm:f>
            <x14:dxf>
              <font>
                <b/>
                <i val="0"/>
                <color theme="0"/>
              </font>
              <fill>
                <patternFill patternType="solid">
                  <fgColor rgb="FF0070C0"/>
                  <bgColor rgb="FF0070C0"/>
                </patternFill>
              </fill>
            </x14:dxf>
          </x14:cfRule>
          <xm:sqref>H12:H111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ab16</dc:creator>
  <cp:revision>3</cp:revision>
  <dcterms:created xsi:type="dcterms:W3CDTF">2025-03-19T16:23:35Z</dcterms:created>
  <dcterms:modified xsi:type="dcterms:W3CDTF">2026-04-05T15:55:09Z</dcterms:modified>
</cp:coreProperties>
</file>