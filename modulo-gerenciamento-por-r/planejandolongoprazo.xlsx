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lanilha1" sheetId="1" state="hidden" r:id="rId2"/>
    <sheet name="Simulação" sheetId="2" state="visible" r:id="rId3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tc={00890053-0047-4817-98C9-0060004C00D1}</author>
    <author>tc={00BD00FB-00A6-477D-AEA4-009800AB0045}</author>
    <author>tc={001400D4-008C-4968-A3DF-002B001800A5}</author>
    <author>tc={00FA00E3-0077-492E-A833-0008006D007E}</author>
    <author>tc={001C00C5-0007-4518-AA5D-006F006B0011}</author>
    <author>tc={00EF0028-0083-4AE5-9E9B-0075003500D0}</author>
    <author>tc={00270050-0053-4447-9535-008400D300E6}</author>
    <author>tc={00400094-0087-4365-A0F2-00D900B000AC}</author>
    <author>tc={00F900DE-004F-4F57-8D9D-0004001D0034}</author>
    <author>tc={00D3002F-0081-40AD-A689-006C00CC00C2}</author>
    <author>tc={00960019-0017-4DE8-8D0A-00C80055004E}</author>
    <author>tc={00CD0042-00AE-47FE-9EF7-00A700B40004}</author>
    <author>tc={004500E8-0008-46DB-AD30-00E900C900C4}</author>
  </authors>
  <commentList>
    <comment ref="B4" authorId="0" xr:uid="{00890053-0047-4817-98C9-0060004C00D1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Preencha com a quantidade de R que você vai fazer por ano
</t>
        </r>
      </text>
    </comment>
    <comment ref="D4" authorId="1" xr:uid="{00BD00FB-00A6-477D-AEA4-009800AB0045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Preencha com o percentual que você vai arriscar por trade (R)
</t>
        </r>
      </text>
    </comment>
    <comment ref="F4" authorId="2" xr:uid="{001400D4-008C-4968-A3DF-002B001800A5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Preencha com o valor de você tem para iniciar esse planejamento
</t>
        </r>
      </text>
    </comment>
    <comment ref="B6" authorId="3" xr:uid="{00FA00E3-0077-492E-A833-0008006D007E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Preencha com X a coluna abaixo que você deseja simular o ano
</t>
        </r>
      </text>
    </comment>
    <comment ref="K6" authorId="4" xr:uid="{001C00C5-0007-4518-AA5D-006F006B0011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Valor que você poderá retirar do mercado para colocar em renda fixa ou até mesmo usar
</t>
        </r>
      </text>
    </comment>
    <comment ref="M6" authorId="5" xr:uid="{00EF0028-0083-4AE5-9E9B-0075003500D0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Aqui estamos simulando qual é o percentual do R sobre o patrimônio todo
</t>
        </r>
      </text>
    </comment>
    <comment ref="D6" authorId="6" xr:uid="{00270050-0053-4447-9535-008400D300E6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Capital que você começa o ano
</t>
        </r>
      </text>
    </comment>
    <comment ref="E6" authorId="7" xr:uid="{00400094-0087-4365-A0F2-00D900B000AC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Valor do risco por trade, calculado com base no percentual que você colocou no campo % R s/ capital
</t>
        </r>
      </text>
    </comment>
    <comment ref="F6" authorId="8" xr:uid="{00F900DE-004F-4F57-8D9D-0004001D0034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Valor bruto conquistado no ano, calculado com o valor do R x qtd média de R anual
</t>
        </r>
      </text>
    </comment>
    <comment ref="G6" authorId="9" xr:uid="{00D3002F-0081-40AD-A689-006C00CC00C2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Calculado 20% imposto de renda sobre o valor bruto feito no ano
</t>
        </r>
      </text>
    </comment>
    <comment ref="H6" authorId="10" xr:uid="{00960019-0017-4DE8-8D0A-00C80055004E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Simulação de média líquida por mês
</t>
        </r>
      </text>
    </comment>
    <comment ref="I6" authorId="11" xr:uid="{00CD0042-00AE-47FE-9EF7-00A700B40004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Total do valor acumulado no ano é a soma do capital inicial do ano + valor total alcançado no ano
</t>
        </r>
      </text>
    </comment>
    <comment ref="J6" authorId="12" xr:uid="{004500E8-0008-46DB-AD30-00E900C900C4}">
      <text>
        <r>
          <rPr>
            <b/>
            <sz val="9"/>
            <rFont val="Tahoma"/>
          </rPr>
          <t>Pichau:</t>
        </r>
        <r>
          <rPr>
            <sz val="9"/>
            <rFont val="Tahoma"/>
          </rPr>
          <t xml:space="preserve">
OTS:
Preencha se você quiser reservar um valor para o daytrade e não usar todo capital acumulado
</t>
        </r>
      </text>
    </comment>
  </commentList>
</comments>
</file>

<file path=xl/sharedStrings.xml><?xml version="1.0" encoding="utf-8"?>
<sst xmlns="http://schemas.openxmlformats.org/spreadsheetml/2006/main" count="34" uniqueCount="34">
  <si>
    <t xml:space="preserve">Média R:</t>
  </si>
  <si>
    <t xml:space="preserve">Média mês</t>
  </si>
  <si>
    <t xml:space="preserve">Capital total</t>
  </si>
  <si>
    <t xml:space="preserve">Reservado day trade</t>
  </si>
  <si>
    <t xml:space="preserve">Reservado renda fixa</t>
  </si>
  <si>
    <t xml:space="preserve">Capital inicial:</t>
  </si>
  <si>
    <t xml:space="preserve">Lucro 2025:</t>
  </si>
  <si>
    <t xml:space="preserve">Lucro 2026:</t>
  </si>
  <si>
    <t xml:space="preserve">Lucro 2027:</t>
  </si>
  <si>
    <t xml:space="preserve">Lucro 2028:</t>
  </si>
  <si>
    <t xml:space="preserve">Lucro 2029:</t>
  </si>
  <si>
    <t xml:space="preserve">Lucro 2030:</t>
  </si>
  <si>
    <t xml:space="preserve">Lucro 2031:</t>
  </si>
  <si>
    <t xml:space="preserve">Lucro 2032:</t>
  </si>
  <si>
    <t xml:space="preserve">Lucro 2033:</t>
  </si>
  <si>
    <t xml:space="preserve">Lucro 2034:</t>
  </si>
  <si>
    <t>Patrimônio</t>
  </si>
  <si>
    <t xml:space="preserve">juros 0,8%</t>
  </si>
  <si>
    <t xml:space="preserve">PLANILHA DE SIMULAÇÃO PARA PLANEJAMENTO ANUAL NO DAY TRADE</t>
  </si>
  <si>
    <t xml:space="preserve">PREENCHA SOMENTE OS CAMPOS EM AMARELO</t>
  </si>
  <si>
    <t xml:space="preserve">% R s/ capital:</t>
  </si>
  <si>
    <t>Marcar</t>
  </si>
  <si>
    <t>Ano</t>
  </si>
  <si>
    <t xml:space="preserve">Capital inicial</t>
  </si>
  <si>
    <t xml:space="preserve">Valor do R</t>
  </si>
  <si>
    <t xml:space="preserve">Feito no ano</t>
  </si>
  <si>
    <t xml:space="preserve">Pago em Imposto</t>
  </si>
  <si>
    <t xml:space="preserve">Capital total acumulado</t>
  </si>
  <si>
    <t xml:space="preserve">Reservado p/ fora do mercado</t>
  </si>
  <si>
    <t xml:space="preserve">% R s/ patrimônio total</t>
  </si>
  <si>
    <t>x</t>
  </si>
  <si>
    <t xml:space="preserve">Ano 2026:</t>
  </si>
  <si>
    <t xml:space="preserve">Patrimônio retirado do mercado</t>
  </si>
  <si>
    <t xml:space="preserve">juros 0,8% (renda fixa)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</si>
</sst>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&quot;R$&quot;\ * #,##0.00_-;\-&quot;R$&quot;\ * #,##0.00_-;_-&quot;R$&quot;\ * &quot;-&quot;??_-;_-@_-"/>
  </numFmts>
  <fonts count="4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1.000000"/>
      <color indexed="2"/>
      <name val="Aptos Narrow"/>
      <scheme val="minor"/>
    </font>
    <font>
      <b/>
      <sz val="11.000000"/>
      <color theme="9" tint="-0.249977111117893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</patternFill>
    </fill>
    <fill>
      <patternFill patternType="solid">
        <fgColor theme="0"/>
      </patternFill>
    </fill>
    <fill>
      <patternFill patternType="solid">
        <fgColor indexed="26"/>
      </patternFill>
    </fill>
    <fill>
      <patternFill patternType="solid">
        <fgColor theme="0" tint="-0.049989318521683403"/>
      </patternFill>
    </fill>
    <fill>
      <patternFill patternType="solid">
        <fgColor theme="5" tint="0.79998168889431442"/>
      </patternFill>
    </fill>
    <fill>
      <patternFill patternType="solid">
        <fgColor theme="9" tint="0.79998168889431442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theme="0" tint="-0.14993743705557422"/>
      </left>
      <right style="none"/>
      <top style="thin">
        <color theme="0" tint="-0.14993743705557422"/>
      </top>
      <bottom style="none"/>
      <diagonal style="none"/>
    </border>
    <border>
      <left style="none"/>
      <right style="none"/>
      <top style="thin">
        <color theme="0" tint="-0.14993743705557422"/>
      </top>
      <bottom style="none"/>
      <diagonal style="none"/>
    </border>
    <border>
      <left style="none"/>
      <right style="thin">
        <color theme="0" tint="-0.14993743705557422"/>
      </right>
      <top style="thin">
        <color theme="0" tint="-0.14993743705557422"/>
      </top>
      <bottom style="none"/>
      <diagonal style="none"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none"/>
      <diagonal style="none"/>
    </border>
    <border>
      <left style="thin">
        <color theme="0" tint="-0.14993743705557422"/>
      </left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none"/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none"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theme="0" tint="-0.14996795556505021"/>
      </left>
      <right style="thin">
        <color theme="0" tint="-0.14996795556505021"/>
      </right>
      <top style="none"/>
      <bottom style="none"/>
      <diagonal style="none"/>
    </border>
    <border>
      <left style="thin">
        <color theme="0" tint="-0.14993743705557422"/>
      </left>
      <right style="none"/>
      <top style="thin">
        <color theme="0" tint="-0.14996795556505021"/>
      </top>
      <bottom style="thin">
        <color theme="0" tint="-0.14993743705557422"/>
      </bottom>
      <diagonal style="none"/>
    </border>
    <border>
      <left style="none"/>
      <right style="none"/>
      <top style="thin">
        <color theme="0" tint="-0.14996795556505021"/>
      </top>
      <bottom style="thin">
        <color theme="0" tint="-0.14993743705557422"/>
      </bottom>
      <diagonal style="none"/>
    </border>
    <border>
      <left style="none"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 style="none"/>
    </border>
    <border>
      <left style="thin">
        <color theme="0" tint="-0.14996795556505021"/>
      </left>
      <right style="thin">
        <color theme="0" tint="-0.14996795556505021"/>
      </right>
      <top style="none"/>
      <bottom style="thin">
        <color theme="0" tint="-0.1499679555650502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62">
    <xf fontId="0" fillId="0" borderId="0" numFmtId="0" xfId="0"/>
    <xf fontId="0" fillId="0" borderId="0" numFmtId="164" xfId="1" applyNumberFormat="1"/>
    <xf fontId="0" fillId="0" borderId="0" numFmtId="0" xfId="0" applyAlignment="1">
      <alignment horizontal="center"/>
    </xf>
    <xf fontId="0" fillId="0" borderId="0" numFmtId="0" xfId="0" applyAlignment="1">
      <alignment horizontal="left"/>
    </xf>
    <xf fontId="0" fillId="0" borderId="0" numFmtId="164" xfId="0" applyNumberFormat="1" applyAlignment="1">
      <alignment horizontal="center"/>
    </xf>
    <xf fontId="0" fillId="0" borderId="0" numFmtId="164" xfId="0" applyNumberFormat="1"/>
    <xf fontId="0" fillId="0" borderId="0" numFmtId="164" xfId="1" applyNumberFormat="1" applyAlignment="1">
      <alignment horizontal="center"/>
    </xf>
    <xf fontId="0" fillId="2" borderId="0" numFmtId="0" xfId="0" applyFill="1"/>
    <xf fontId="0" fillId="2" borderId="0" numFmtId="164" xfId="1" applyNumberFormat="1" applyFill="1"/>
    <xf fontId="1" fillId="3" borderId="0" numFmtId="0" xfId="0" applyFont="1" applyFill="1" applyAlignment="1">
      <alignment horizontal="center"/>
    </xf>
    <xf fontId="1" fillId="3" borderId="0" numFmtId="0" xfId="0" applyFont="1" applyFill="1"/>
    <xf fontId="2" fillId="3" borderId="0" numFmtId="0" xfId="0" applyFont="1" applyFill="1" applyAlignment="1">
      <alignment horizontal="center"/>
    </xf>
    <xf fontId="2" fillId="3" borderId="0" numFmtId="0" xfId="0" applyFont="1" applyFill="1"/>
    <xf fontId="0" fillId="3" borderId="0" numFmtId="0" xfId="0" applyFill="1"/>
    <xf fontId="0" fillId="3" borderId="0" numFmtId="0" xfId="0" applyFill="1" applyAlignment="1">
      <alignment horizontal="center"/>
    </xf>
    <xf fontId="0" fillId="3" borderId="0" numFmtId="164" xfId="1" applyNumberFormat="1" applyFill="1" applyAlignment="1">
      <alignment horizontal="center"/>
    </xf>
    <xf fontId="0" fillId="3" borderId="0" numFmtId="164" xfId="1" applyNumberFormat="1" applyFill="1"/>
    <xf fontId="1" fillId="0" borderId="0" numFmtId="0" xfId="0" applyFont="1"/>
    <xf fontId="0" fillId="4" borderId="0" numFmtId="0" xfId="0" applyFill="1" applyAlignment="1" applyProtection="1">
      <alignment horizontal="left"/>
      <protection locked="0"/>
    </xf>
    <xf fontId="0" fillId="4" borderId="0" numFmtId="0" xfId="1" applyFill="1" applyAlignment="1" applyProtection="1">
      <alignment horizontal="left"/>
      <protection locked="0"/>
    </xf>
    <xf fontId="1" fillId="0" borderId="0" numFmtId="0" xfId="1" applyFont="1" applyAlignment="1">
      <alignment horizontal="left"/>
    </xf>
    <xf fontId="0" fillId="4" borderId="0" numFmtId="164" xfId="1" applyNumberFormat="1" applyFill="1" applyAlignment="1" applyProtection="1">
      <alignment horizontal="center"/>
      <protection locked="0"/>
    </xf>
    <xf fontId="0" fillId="5" borderId="0" numFmtId="0" xfId="0" applyFill="1"/>
    <xf fontId="0" fillId="5" borderId="0" numFmtId="0" xfId="0" applyFill="1" applyAlignment="1">
      <alignment horizontal="left"/>
    </xf>
    <xf fontId="0" fillId="5" borderId="0" numFmtId="0" xfId="1" applyFill="1" applyAlignment="1">
      <alignment horizontal="center"/>
    </xf>
    <xf fontId="0" fillId="5" borderId="0" numFmtId="164" xfId="1" applyNumberFormat="1" applyFill="1" applyAlignment="1">
      <alignment horizontal="center"/>
    </xf>
    <xf fontId="0" fillId="5" borderId="0" numFmtId="164" xfId="1" applyNumberFormat="1" applyFill="1"/>
    <xf fontId="0" fillId="5" borderId="0" numFmtId="0" xfId="0" applyFill="1" applyAlignment="1">
      <alignment horizontal="center"/>
    </xf>
    <xf fontId="1" fillId="0" borderId="1" numFmtId="0" xfId="0" applyFont="1" applyBorder="1" applyAlignment="1">
      <alignment horizontal="left" vertical="center"/>
    </xf>
    <xf fontId="1" fillId="0" borderId="2" numFmtId="0" xfId="0" applyFont="1" applyBorder="1" applyAlignment="1">
      <alignment horizontal="center" vertical="center"/>
    </xf>
    <xf fontId="1" fillId="0" borderId="2" numFmtId="164" xfId="1" applyNumberFormat="1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 wrapText="1"/>
    </xf>
    <xf fontId="0" fillId="3" borderId="0" numFmtId="0" xfId="0" applyFill="1" applyAlignment="1">
      <alignment vertical="center"/>
    </xf>
    <xf fontId="0" fillId="0" borderId="4" numFmtId="0" xfId="0" applyBorder="1" applyAlignment="1">
      <alignment horizontal="center" vertical="center"/>
    </xf>
    <xf fontId="0" fillId="4" borderId="5" numFmtId="0" xfId="0" applyFill="1" applyBorder="1" applyProtection="1">
      <protection locked="0"/>
    </xf>
    <xf fontId="1" fillId="0" borderId="6" numFmtId="0" xfId="0" applyFont="1" applyBorder="1"/>
    <xf fontId="0" fillId="0" borderId="6" numFmtId="164" xfId="1" applyNumberFormat="1" applyBorder="1" applyAlignment="1">
      <alignment horizontal="center"/>
    </xf>
    <xf fontId="0" fillId="0" borderId="6" numFmtId="164" xfId="0" applyNumberFormat="1" applyBorder="1" applyAlignment="1">
      <alignment horizontal="center"/>
    </xf>
    <xf fontId="1" fillId="0" borderId="6" numFmtId="164" xfId="0" applyNumberFormat="1" applyFont="1" applyBorder="1" applyAlignment="1">
      <alignment horizontal="center"/>
    </xf>
    <xf fontId="0" fillId="4" borderId="6" numFmtId="164" xfId="1" applyNumberFormat="1" applyFill="1" applyBorder="1" applyAlignment="1" applyProtection="1">
      <alignment horizontal="center"/>
      <protection locked="0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1" fillId="6" borderId="6" numFmtId="0" xfId="0" applyFont="1" applyFill="1" applyBorder="1"/>
    <xf fontId="0" fillId="6" borderId="6" numFmtId="164" xfId="1" applyNumberFormat="1" applyFill="1" applyBorder="1" applyAlignment="1">
      <alignment horizontal="center"/>
    </xf>
    <xf fontId="0" fillId="6" borderId="6" numFmtId="164" xfId="0" applyNumberFormat="1" applyFill="1" applyBorder="1" applyAlignment="1">
      <alignment horizontal="center"/>
    </xf>
    <xf fontId="1" fillId="6" borderId="6" numFmtId="164" xfId="0" applyNumberFormat="1" applyFont="1" applyFill="1" applyBorder="1" applyAlignment="1">
      <alignment horizontal="center"/>
    </xf>
    <xf fontId="0" fillId="6" borderId="7" numFmtId="164" xfId="0" applyNumberFormat="1" applyFill="1" applyBorder="1" applyAlignment="1">
      <alignment horizontal="center"/>
    </xf>
    <xf fontId="0" fillId="0" borderId="7" numFmtId="164" xfId="0" applyNumberFormat="1" applyBorder="1" applyAlignment="1">
      <alignment horizontal="center"/>
    </xf>
    <xf fontId="0" fillId="4" borderId="9" numFmtId="0" xfId="0" applyFill="1" applyBorder="1" applyProtection="1">
      <protection locked="0"/>
    </xf>
    <xf fontId="1" fillId="6" borderId="10" numFmtId="0" xfId="0" applyFont="1" applyFill="1" applyBorder="1"/>
    <xf fontId="0" fillId="6" borderId="10" numFmtId="164" xfId="1" applyNumberFormat="1" applyFill="1" applyBorder="1" applyAlignment="1">
      <alignment horizontal="center"/>
    </xf>
    <xf fontId="0" fillId="6" borderId="10" numFmtId="164" xfId="0" applyNumberFormat="1" applyFill="1" applyBorder="1" applyAlignment="1">
      <alignment horizontal="center"/>
    </xf>
    <xf fontId="1" fillId="6" borderId="10" numFmtId="164" xfId="0" applyNumberFormat="1" applyFont="1" applyFill="1" applyBorder="1" applyAlignment="1">
      <alignment horizontal="center"/>
    </xf>
    <xf fontId="0" fillId="4" borderId="10" numFmtId="164" xfId="1" applyNumberFormat="1" applyFill="1" applyBorder="1" applyAlignment="1" applyProtection="1">
      <alignment horizontal="center"/>
      <protection locked="0"/>
    </xf>
    <xf fontId="0" fillId="6" borderId="11" numFmtId="164" xfId="0" applyNumberFormat="1" applyFill="1" applyBorder="1" applyAlignment="1">
      <alignment horizontal="center"/>
    </xf>
    <xf fontId="0" fillId="0" borderId="12" numFmtId="0" xfId="0" applyBorder="1" applyAlignment="1">
      <alignment horizontal="center"/>
    </xf>
    <xf fontId="1" fillId="0" borderId="0" numFmtId="0" xfId="0" applyFont="1" applyAlignment="1">
      <alignment horizontal="center"/>
    </xf>
    <xf fontId="0" fillId="3" borderId="0" numFmtId="164" xfId="0" applyNumberFormat="1" applyFill="1" applyAlignment="1">
      <alignment horizontal="center"/>
    </xf>
    <xf fontId="3" fillId="7" borderId="0" numFmtId="164" xfId="0" applyNumberFormat="1" applyFont="1" applyFill="1" applyAlignment="1">
      <alignment horizontal="center"/>
    </xf>
    <xf fontId="3" fillId="7" borderId="0" numFmtId="0" xfId="0" applyFont="1" applyFill="1" applyAlignment="1">
      <alignment horizontal="left"/>
    </xf>
    <xf fontId="0" fillId="2" borderId="0" numFmtId="0" xfId="0" applyFill="1" applyAlignment="1">
      <alignment horizontal="center"/>
    </xf>
    <xf fontId="0" fillId="2" borderId="0" numFmtId="164" xfId="1" applyNumberForma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youtube.com/@otraderserio/videos?sub_confirmation=1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8</xdr:col>
      <xdr:colOff>1436685</xdr:colOff>
      <xdr:row>0</xdr:row>
      <xdr:rowOff>7937</xdr:rowOff>
    </xdr:from>
    <xdr:to>
      <xdr:col>11</xdr:col>
      <xdr:colOff>23811</xdr:colOff>
      <xdr:row>3</xdr:row>
      <xdr:rowOff>9281</xdr:rowOff>
    </xdr:to>
    <xdr:pic>
      <xdr:nvPicPr>
        <xdr:cNvPr id="3" name="Imagem 2">
          <a:hlinkClick r:id="rId1"/>
        </xdr:cNvPr>
        <xdr:cNvPicPr>
          <a:picLocks noChangeAspect="1"/>
        </xdr:cNvPicPr>
      </xdr:nvPicPr>
      <xdr:blipFill>
        <a:blip r:embed="rId2"/>
        <a:stretch/>
      </xdr:blipFill>
      <xdr:spPr bwMode="auto">
        <a:xfrm>
          <a:off x="9175749" y="7937"/>
          <a:ext cx="2706687" cy="5728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ichau" id="{B816C2C4-9904-A618-B2A9-3FAD9686FFC3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personId="{B816C2C4-9904-A618-B2A9-3FAD9686FFC3}" id="{00890053-0047-4817-98C9-0060004C00D1}" done="0">
    <text xml:space="preserve">OTS:
Preencha com a quantidade de R que você vai fazer por ano
</text>
  </threadedComment>
  <threadedComment ref="D4" personId="{B816C2C4-9904-A618-B2A9-3FAD9686FFC3}" id="{00BD00FB-00A6-477D-AEA4-009800AB0045}" done="0">
    <text xml:space="preserve">OTS:
Preencha com o percentual que você vai arriscar por trade (R)
</text>
  </threadedComment>
  <threadedComment ref="F4" personId="{B816C2C4-9904-A618-B2A9-3FAD9686FFC3}" id="{001400D4-008C-4968-A3DF-002B001800A5}" done="0">
    <text xml:space="preserve">OTS:
Preencha com o valor de você tem para iniciar esse planejamento
</text>
  </threadedComment>
  <threadedComment ref="B6" personId="{B816C2C4-9904-A618-B2A9-3FAD9686FFC3}" id="{00FA00E3-0077-492E-A833-0008006D007E}" done="0">
    <text xml:space="preserve">OTS:
Preencha com X a coluna abaixo que você deseja simular o ano
</text>
  </threadedComment>
  <threadedComment ref="K6" personId="{B816C2C4-9904-A618-B2A9-3FAD9686FFC3}" id="{001C00C5-0007-4518-AA5D-006F006B0011}" done="0">
    <text xml:space="preserve">OTS:
Valor que você poderá retirar do mercado para colocar em renda fixa ou até mesmo usar
</text>
  </threadedComment>
  <threadedComment ref="M6" personId="{B816C2C4-9904-A618-B2A9-3FAD9686FFC3}" id="{00EF0028-0083-4AE5-9E9B-0075003500D0}" done="0">
    <text xml:space="preserve">OTS:
Aqui estamos simulando qual é o percentual do R sobre o patrimônio todo
</text>
  </threadedComment>
  <threadedComment ref="D6" personId="{B816C2C4-9904-A618-B2A9-3FAD9686FFC3}" id="{00270050-0053-4447-9535-008400D300E6}" done="0">
    <text xml:space="preserve">OTS:
Capital que você começa o ano
</text>
  </threadedComment>
  <threadedComment ref="E6" personId="{B816C2C4-9904-A618-B2A9-3FAD9686FFC3}" id="{00400094-0087-4365-A0F2-00D900B000AC}" done="0">
    <text xml:space="preserve">OTS:
Valor do risco por trade, calculado com base no percentual que você colocou no campo % R s/ capital
</text>
  </threadedComment>
  <threadedComment ref="F6" personId="{B816C2C4-9904-A618-B2A9-3FAD9686FFC3}" id="{00F900DE-004F-4F57-8D9D-0004001D0034}" done="0">
    <text xml:space="preserve">OTS:
Valor bruto conquistado no ano, calculado com o valor do R x qtd média de R anual
</text>
  </threadedComment>
  <threadedComment ref="G6" personId="{B816C2C4-9904-A618-B2A9-3FAD9686FFC3}" id="{00D3002F-0081-40AD-A689-006C00CC00C2}" done="0">
    <text xml:space="preserve">OTS:
Calculado 20% imposto de renda sobre o valor bruto feito no ano
</text>
  </threadedComment>
  <threadedComment ref="H6" personId="{B816C2C4-9904-A618-B2A9-3FAD9686FFC3}" id="{00960019-0017-4DE8-8D0A-00C80055004E}" done="0">
    <text xml:space="preserve">OTS:
Simulação de média líquida por mês
</text>
  </threadedComment>
  <threadedComment ref="I6" personId="{B816C2C4-9904-A618-B2A9-3FAD9686FFC3}" id="{00CD0042-00AE-47FE-9EF7-00A700B40004}" done="0">
    <text xml:space="preserve">OTS:
Total do valor acumulado no ano é a soma do capital inicial do ano + valor total alcançado no ano
</text>
  </threadedComment>
  <threadedComment ref="J6" personId="{B816C2C4-9904-A618-B2A9-3FAD9686FFC3}" id="{004500E8-0008-46DB-AD30-00E900C900C4}" done="0">
    <text xml:space="preserve">OTS:
Preencha se você quiser reservar um valor para o daytrade e não usar todo capital acumulado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0" activeCellId="0" sqref="D10"/>
    </sheetView>
  </sheetViews>
  <sheetFormatPr defaultRowHeight="15"/>
  <cols>
    <col bestFit="1" customWidth="1" min="3" max="3" width="14"/>
    <col bestFit="1" customWidth="1" min="4" max="4" style="1" width="15.85546875"/>
    <col bestFit="1" customWidth="1" min="5" max="5" style="2" width="14.28515625"/>
    <col bestFit="1" customWidth="1" min="6" max="6" style="2" width="15.85546875"/>
    <col bestFit="1" customWidth="1" min="7" max="7" width="19"/>
    <col bestFit="1" customWidth="1" min="8" max="8" width="19.5703125"/>
    <col customWidth="1" min="9" max="9" width="10.7109375"/>
  </cols>
  <sheetData>
    <row r="1">
      <c r="A1" t="s">
        <v>0</v>
      </c>
      <c r="B1" s="3">
        <v>42</v>
      </c>
      <c r="E1" s="2" t="s">
        <v>1</v>
      </c>
      <c r="F1" s="2" t="s">
        <v>2</v>
      </c>
      <c r="G1" t="s">
        <v>3</v>
      </c>
      <c r="H1" t="s">
        <v>4</v>
      </c>
    </row>
    <row r="2">
      <c r="C2" t="s">
        <v>5</v>
      </c>
      <c r="D2" s="1">
        <v>10000</v>
      </c>
    </row>
    <row r="3">
      <c r="C3" t="s">
        <v>6</v>
      </c>
      <c r="D3" s="1">
        <f>(D2/100*3)*B1</f>
        <v>12600</v>
      </c>
      <c r="E3" s="4">
        <f t="shared" ref="E3:E12" si="0">D3/12</f>
        <v>1050</v>
      </c>
      <c r="F3" s="4">
        <f>D3+D2</f>
        <v>22600</v>
      </c>
    </row>
    <row r="4">
      <c r="C4" t="s">
        <v>7</v>
      </c>
      <c r="D4" s="1">
        <f>(F3/100*3)*B1</f>
        <v>28476</v>
      </c>
      <c r="E4" s="4">
        <f t="shared" si="0"/>
        <v>2373</v>
      </c>
      <c r="F4" s="4">
        <f t="shared" ref="F4:F7" si="1">D4+F3</f>
        <v>51076</v>
      </c>
    </row>
    <row r="5">
      <c r="C5" t="s">
        <v>8</v>
      </c>
      <c r="D5" s="1">
        <f t="shared" ref="D5:D7" si="2">(F4/100*3)*$B$1</f>
        <v>64355.760000000002</v>
      </c>
      <c r="E5" s="4">
        <f t="shared" si="0"/>
        <v>5362.9800000000005</v>
      </c>
      <c r="F5" s="4">
        <f t="shared" si="1"/>
        <v>115431.76000000001</v>
      </c>
    </row>
    <row r="6">
      <c r="C6" t="s">
        <v>9</v>
      </c>
      <c r="D6" s="1">
        <f t="shared" si="2"/>
        <v>145444.01759999999</v>
      </c>
      <c r="E6" s="4">
        <f t="shared" si="0"/>
        <v>12120.334799999999</v>
      </c>
      <c r="F6" s="4">
        <f t="shared" si="1"/>
        <v>260875.7776</v>
      </c>
    </row>
    <row r="7">
      <c r="C7" t="s">
        <v>10</v>
      </c>
      <c r="D7" s="1">
        <f t="shared" si="2"/>
        <v>328703.47977599996</v>
      </c>
      <c r="E7" s="4">
        <f t="shared" si="0"/>
        <v>27391.956647999996</v>
      </c>
      <c r="F7" s="4">
        <f t="shared" si="1"/>
        <v>589579.25737599994</v>
      </c>
      <c r="G7" s="1">
        <v>300000</v>
      </c>
      <c r="H7" s="5">
        <f t="shared" ref="H7:H12" si="3">F7-G7</f>
        <v>289579.25737599994</v>
      </c>
    </row>
    <row r="8">
      <c r="C8" t="s">
        <v>11</v>
      </c>
      <c r="D8" s="1">
        <f t="shared" ref="D8:D10" si="4">(G7/100*3)*$B$1</f>
        <v>378000</v>
      </c>
      <c r="E8" s="4">
        <f t="shared" si="0"/>
        <v>31500</v>
      </c>
      <c r="F8" s="4">
        <f t="shared" ref="F8:F9" si="5">D8+G7</f>
        <v>678000</v>
      </c>
      <c r="G8" s="1">
        <v>350000</v>
      </c>
      <c r="H8" s="5">
        <f t="shared" si="3"/>
        <v>328000</v>
      </c>
    </row>
    <row r="9">
      <c r="C9" t="s">
        <v>12</v>
      </c>
      <c r="D9" s="1">
        <f t="shared" si="4"/>
        <v>441000</v>
      </c>
      <c r="E9" s="4">
        <f t="shared" si="0"/>
        <v>36750</v>
      </c>
      <c r="F9" s="4">
        <f t="shared" si="5"/>
        <v>791000</v>
      </c>
      <c r="G9" s="1">
        <v>400000</v>
      </c>
      <c r="H9" s="5">
        <f t="shared" si="3"/>
        <v>391000</v>
      </c>
    </row>
    <row r="10">
      <c r="C10" t="s">
        <v>13</v>
      </c>
      <c r="D10" s="1">
        <f t="shared" si="4"/>
        <v>504000</v>
      </c>
      <c r="E10" s="4">
        <f t="shared" si="0"/>
        <v>42000</v>
      </c>
      <c r="F10" s="4">
        <f>D10+G9</f>
        <v>904000</v>
      </c>
      <c r="G10" s="1">
        <v>450000</v>
      </c>
      <c r="H10" s="5">
        <f t="shared" si="3"/>
        <v>454000</v>
      </c>
    </row>
    <row r="11">
      <c r="C11" t="s">
        <v>14</v>
      </c>
      <c r="D11" s="1">
        <f t="shared" ref="D11:D12" si="6">(G10/100*3)*$B$1</f>
        <v>567000</v>
      </c>
      <c r="E11" s="4">
        <f t="shared" si="0"/>
        <v>47250</v>
      </c>
      <c r="F11" s="4">
        <f t="shared" ref="F11:F12" si="7">D11+G10</f>
        <v>1017000</v>
      </c>
      <c r="G11" s="1">
        <v>500000</v>
      </c>
      <c r="H11" s="5">
        <f t="shared" si="3"/>
        <v>517000</v>
      </c>
    </row>
    <row r="12">
      <c r="C12" t="s">
        <v>15</v>
      </c>
      <c r="D12" s="1">
        <f t="shared" si="6"/>
        <v>630000</v>
      </c>
      <c r="E12" s="4">
        <f t="shared" si="0"/>
        <v>52500</v>
      </c>
      <c r="F12" s="4">
        <f t="shared" si="7"/>
        <v>1130000</v>
      </c>
      <c r="G12" s="1">
        <v>500000</v>
      </c>
      <c r="H12" s="5">
        <f t="shared" si="3"/>
        <v>630000</v>
      </c>
    </row>
    <row r="15">
      <c r="D15" s="1">
        <f>(D2/100*3)*$B$1</f>
        <v>12600</v>
      </c>
      <c r="E15" s="4">
        <f>D15/12</f>
        <v>1050</v>
      </c>
      <c r="F15" s="4">
        <f>D15+D2</f>
        <v>22600</v>
      </c>
      <c r="H15" s="5">
        <f>SUM(H7:H14)</f>
        <v>2609579.2573759998</v>
      </c>
      <c r="I15" t="s">
        <v>16</v>
      </c>
    </row>
    <row r="16">
      <c r="H16" s="5">
        <f>H15/100*0.8</f>
        <v>20876.634059008</v>
      </c>
      <c r="I16" t="s">
        <v>17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8" activeCellId="0" sqref="B8"/>
    </sheetView>
  </sheetViews>
  <sheetFormatPr defaultRowHeight="14.25"/>
  <cols>
    <col customWidth="1" min="2" max="2" width="7.85546875"/>
    <col bestFit="1" customWidth="1" min="3" max="3" width="14"/>
    <col customWidth="1" min="4" max="4" style="2" width="17.7109375"/>
    <col customWidth="1" min="5" max="5" style="2" width="15.5703125"/>
    <col customWidth="1" min="6" max="6" style="6" width="18.140625"/>
    <col customWidth="1" min="7" max="7" style="1" width="16.5703125"/>
    <col customWidth="1" min="8" max="8" style="2" width="17"/>
    <col bestFit="1" customWidth="1" min="9" max="9" style="2" width="22.7109375"/>
    <col customWidth="1" min="10" max="10" style="2" width="20.5703125"/>
    <col customWidth="1" min="11" max="11" style="2" width="18.42578125"/>
    <col customWidth="1" min="12" max="12" width="11.5703125"/>
    <col bestFit="1" customWidth="1" min="13" max="13" width="21.42578125"/>
    <col min="14" max="14" style="7" width="9.140625"/>
    <col customWidth="1" hidden="1" min="15" max="15" style="8" width="15.85546875"/>
    <col min="16" max="37" style="7" width="9.140625"/>
  </cols>
  <sheetData>
    <row r="1">
      <c r="A1" s="9" t="s">
        <v>18</v>
      </c>
      <c r="B1" s="9"/>
      <c r="C1" s="9"/>
      <c r="D1" s="9"/>
      <c r="E1" s="9"/>
      <c r="F1" s="9"/>
      <c r="G1" s="9"/>
      <c r="H1" s="9"/>
      <c r="I1" s="9"/>
      <c r="J1" s="10"/>
      <c r="K1" s="10"/>
      <c r="L1" s="10"/>
      <c r="M1" s="10"/>
      <c r="AL1" s="7"/>
    </row>
    <row r="2">
      <c r="A2" s="11" t="s">
        <v>19</v>
      </c>
      <c r="B2" s="11"/>
      <c r="C2" s="11"/>
      <c r="D2" s="11"/>
      <c r="E2" s="11"/>
      <c r="F2" s="11"/>
      <c r="G2" s="11"/>
      <c r="H2" s="11"/>
      <c r="I2" s="11"/>
      <c r="J2" s="12"/>
      <c r="K2" s="12"/>
      <c r="L2" s="12"/>
      <c r="M2" s="12"/>
      <c r="AL2" s="7"/>
    </row>
    <row r="3">
      <c r="A3" s="13"/>
      <c r="B3" s="13"/>
      <c r="C3" s="13"/>
      <c r="D3" s="14"/>
      <c r="E3" s="14"/>
      <c r="F3" s="15"/>
      <c r="G3" s="16"/>
      <c r="H3" s="14"/>
      <c r="I3" s="14"/>
      <c r="J3" s="14"/>
      <c r="K3" s="14"/>
      <c r="L3" s="13"/>
      <c r="M3" s="13"/>
      <c r="AL3" s="7"/>
    </row>
    <row r="4">
      <c r="A4" s="17" t="s">
        <v>0</v>
      </c>
      <c r="B4" s="18">
        <f>4*12</f>
        <v>48</v>
      </c>
      <c r="C4" s="17" t="s">
        <v>20</v>
      </c>
      <c r="D4" s="19">
        <v>3</v>
      </c>
      <c r="E4" s="20" t="s">
        <v>5</v>
      </c>
      <c r="F4" s="21">
        <v>10000</v>
      </c>
      <c r="G4" s="16"/>
      <c r="H4" s="14"/>
      <c r="I4" s="14"/>
      <c r="J4" s="14"/>
      <c r="K4" s="14"/>
      <c r="L4" s="13"/>
      <c r="M4" s="13"/>
      <c r="AL4" s="7"/>
    </row>
    <row r="5" s="22" customFormat="1">
      <c r="B5" s="23"/>
      <c r="D5" s="24"/>
      <c r="E5" s="24"/>
      <c r="F5" s="25"/>
      <c r="G5" s="26"/>
      <c r="H5" s="27"/>
      <c r="I5" s="27"/>
      <c r="J5" s="27"/>
      <c r="K5" s="27"/>
      <c r="N5" s="7"/>
      <c r="O5" s="8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ht="28.5">
      <c r="A6" s="13"/>
      <c r="B6" s="28" t="s">
        <v>21</v>
      </c>
      <c r="C6" s="29" t="s">
        <v>22</v>
      </c>
      <c r="D6" s="29" t="s">
        <v>23</v>
      </c>
      <c r="E6" s="29" t="s">
        <v>24</v>
      </c>
      <c r="F6" s="30" t="s">
        <v>25</v>
      </c>
      <c r="G6" s="29" t="s">
        <v>26</v>
      </c>
      <c r="H6" s="29" t="s">
        <v>1</v>
      </c>
      <c r="I6" s="29" t="s">
        <v>27</v>
      </c>
      <c r="J6" s="29" t="s">
        <v>3</v>
      </c>
      <c r="K6" s="31" t="s">
        <v>28</v>
      </c>
      <c r="L6" s="32"/>
      <c r="M6" s="33" t="s">
        <v>29</v>
      </c>
      <c r="AL6" s="7"/>
    </row>
    <row r="7">
      <c r="A7" s="13"/>
      <c r="B7" s="34" t="s">
        <v>30</v>
      </c>
      <c r="C7" s="35" t="s">
        <v>31</v>
      </c>
      <c r="D7" s="36">
        <f>IF(B7&lt;&gt;"",$F$4,"")</f>
        <v>10000</v>
      </c>
      <c r="E7" s="36">
        <f t="shared" ref="E7:E16" si="8">IF(B7&lt;&gt;"",D7/100*$D$4,"")</f>
        <v>300</v>
      </c>
      <c r="F7" s="36">
        <f t="shared" ref="F7:F16" si="9">IF(B7&lt;&gt;"",E7*$B$4,"")</f>
        <v>14400</v>
      </c>
      <c r="G7" s="37">
        <f t="shared" ref="G7:G16" si="10">IF(B7&lt;&gt;"",F7/100*20,"")</f>
        <v>2880</v>
      </c>
      <c r="H7" s="38">
        <f t="shared" ref="H7:H16" si="11">IF(B7&lt;&gt;"",(F7-G7)/12,"")</f>
        <v>960</v>
      </c>
      <c r="I7" s="37">
        <f t="shared" ref="I7:I16" si="12">IF(B7&lt;&gt;"",(F7-G7)+D7,"")</f>
        <v>21520</v>
      </c>
      <c r="J7" s="39"/>
      <c r="K7" s="40"/>
      <c r="L7" s="13"/>
      <c r="M7" s="41" t="str">
        <f t="shared" ref="M7:M16" si="13">IF(B7&lt;&gt;"",IF(O7&lt;&gt;"",(E7*100)/(O7),""),"")</f>
        <v/>
      </c>
      <c r="AL7" s="7"/>
    </row>
    <row r="8">
      <c r="A8" s="13"/>
      <c r="B8" s="34"/>
      <c r="C8" s="42" t="str">
        <f>IF(B8&lt;&gt;"","Ano 2027:","")</f>
        <v/>
      </c>
      <c r="D8" s="43" t="str">
        <f t="shared" ref="D8:D16" si="14">IF(B8&lt;&gt;"",IF(J7&lt;&gt;"",J7,I7),"")</f>
        <v/>
      </c>
      <c r="E8" s="43" t="str">
        <f t="shared" si="8"/>
        <v/>
      </c>
      <c r="F8" s="43" t="str">
        <f t="shared" si="9"/>
        <v/>
      </c>
      <c r="G8" s="44" t="str">
        <f t="shared" si="10"/>
        <v/>
      </c>
      <c r="H8" s="45" t="str">
        <f t="shared" si="11"/>
        <v/>
      </c>
      <c r="I8" s="44" t="str">
        <f t="shared" si="12"/>
        <v/>
      </c>
      <c r="J8" s="39"/>
      <c r="K8" s="46">
        <f t="shared" ref="K8:K16" si="15">IF(J8&lt;&gt;"",I8-J8,0)</f>
        <v>0</v>
      </c>
      <c r="L8" s="13"/>
      <c r="M8" s="41" t="str">
        <f t="shared" si="13"/>
        <v/>
      </c>
      <c r="O8" s="8" t="str">
        <f>IF(J8&lt;&gt;"",J8+K8,"")</f>
        <v/>
      </c>
      <c r="AL8" s="7"/>
    </row>
    <row r="9">
      <c r="A9" s="13"/>
      <c r="B9" s="34"/>
      <c r="C9" s="35" t="str">
        <f>IF(B9&lt;&gt;"","Ano 2028:","")</f>
        <v/>
      </c>
      <c r="D9" s="36" t="str">
        <f t="shared" si="14"/>
        <v/>
      </c>
      <c r="E9" s="36" t="str">
        <f t="shared" si="8"/>
        <v/>
      </c>
      <c r="F9" s="36" t="str">
        <f t="shared" si="9"/>
        <v/>
      </c>
      <c r="G9" s="37" t="str">
        <f t="shared" si="10"/>
        <v/>
      </c>
      <c r="H9" s="38" t="str">
        <f t="shared" si="11"/>
        <v/>
      </c>
      <c r="I9" s="37" t="str">
        <f t="shared" si="12"/>
        <v/>
      </c>
      <c r="J9" s="39"/>
      <c r="K9" s="47">
        <f t="shared" si="15"/>
        <v>0</v>
      </c>
      <c r="L9" s="13"/>
      <c r="M9" s="41" t="str">
        <f t="shared" si="13"/>
        <v/>
      </c>
      <c r="O9" s="8" t="str">
        <f>IF(J9&lt;&gt;"",J9+K9+K8,"")</f>
        <v/>
      </c>
      <c r="AL9" s="7"/>
    </row>
    <row r="10">
      <c r="A10" s="13"/>
      <c r="B10" s="34"/>
      <c r="C10" s="42" t="str">
        <f>IF(B10&lt;&gt;"","Ano 2029:","")</f>
        <v/>
      </c>
      <c r="D10" s="43" t="str">
        <f t="shared" si="14"/>
        <v/>
      </c>
      <c r="E10" s="43" t="str">
        <f t="shared" si="8"/>
        <v/>
      </c>
      <c r="F10" s="43" t="str">
        <f t="shared" si="9"/>
        <v/>
      </c>
      <c r="G10" s="44" t="str">
        <f t="shared" si="10"/>
        <v/>
      </c>
      <c r="H10" s="45" t="str">
        <f t="shared" si="11"/>
        <v/>
      </c>
      <c r="I10" s="44" t="str">
        <f t="shared" si="12"/>
        <v/>
      </c>
      <c r="J10" s="39"/>
      <c r="K10" s="46">
        <f t="shared" si="15"/>
        <v>0</v>
      </c>
      <c r="L10" s="13"/>
      <c r="M10" s="41" t="str">
        <f t="shared" si="13"/>
        <v/>
      </c>
      <c r="O10" s="8" t="str">
        <f>IF(J10&lt;&gt;"",J10+K10+K9+K8,"")</f>
        <v/>
      </c>
      <c r="AL10" s="7"/>
    </row>
    <row r="11">
      <c r="A11" s="13"/>
      <c r="B11" s="34"/>
      <c r="C11" s="35" t="str">
        <f>IF(B11&lt;&gt;"","Ano 2030:","")</f>
        <v/>
      </c>
      <c r="D11" s="36" t="str">
        <f t="shared" si="14"/>
        <v/>
      </c>
      <c r="E11" s="36" t="str">
        <f t="shared" si="8"/>
        <v/>
      </c>
      <c r="F11" s="36" t="str">
        <f t="shared" si="9"/>
        <v/>
      </c>
      <c r="G11" s="37" t="str">
        <f t="shared" si="10"/>
        <v/>
      </c>
      <c r="H11" s="38" t="str">
        <f t="shared" si="11"/>
        <v/>
      </c>
      <c r="I11" s="37" t="str">
        <f t="shared" si="12"/>
        <v/>
      </c>
      <c r="J11" s="39"/>
      <c r="K11" s="47">
        <f t="shared" si="15"/>
        <v>0</v>
      </c>
      <c r="L11" s="13"/>
      <c r="M11" s="41" t="str">
        <f t="shared" si="13"/>
        <v/>
      </c>
      <c r="O11" s="8" t="str">
        <f>IF(J11&lt;&gt;"",J11+K11+K10+K9+K8,"")</f>
        <v/>
      </c>
      <c r="AL11" s="7"/>
    </row>
    <row r="12">
      <c r="A12" s="13"/>
      <c r="B12" s="34"/>
      <c r="C12" s="42" t="str">
        <f>IF(B12&lt;&gt;"","Ano 2031:","")</f>
        <v/>
      </c>
      <c r="D12" s="43" t="str">
        <f t="shared" si="14"/>
        <v/>
      </c>
      <c r="E12" s="43" t="str">
        <f t="shared" si="8"/>
        <v/>
      </c>
      <c r="F12" s="43" t="str">
        <f t="shared" si="9"/>
        <v/>
      </c>
      <c r="G12" s="44" t="str">
        <f t="shared" si="10"/>
        <v/>
      </c>
      <c r="H12" s="45" t="str">
        <f t="shared" si="11"/>
        <v/>
      </c>
      <c r="I12" s="44" t="str">
        <f t="shared" si="12"/>
        <v/>
      </c>
      <c r="J12" s="39"/>
      <c r="K12" s="46">
        <f t="shared" si="15"/>
        <v>0</v>
      </c>
      <c r="L12" s="13"/>
      <c r="M12" s="41" t="str">
        <f t="shared" si="13"/>
        <v/>
      </c>
      <c r="O12" s="8" t="str">
        <f>IF(J12&lt;&gt;"",J12+K12+K11+K10+K9+K8,"")</f>
        <v/>
      </c>
      <c r="AL12" s="7"/>
    </row>
    <row r="13">
      <c r="A13" s="13"/>
      <c r="B13" s="34"/>
      <c r="C13" s="35" t="str">
        <f>IF(B13&lt;&gt;"","Ano 2032:","")</f>
        <v/>
      </c>
      <c r="D13" s="36" t="str">
        <f t="shared" si="14"/>
        <v/>
      </c>
      <c r="E13" s="36" t="str">
        <f t="shared" si="8"/>
        <v/>
      </c>
      <c r="F13" s="36" t="str">
        <f t="shared" si="9"/>
        <v/>
      </c>
      <c r="G13" s="37" t="str">
        <f t="shared" si="10"/>
        <v/>
      </c>
      <c r="H13" s="38" t="str">
        <f t="shared" si="11"/>
        <v/>
      </c>
      <c r="I13" s="37" t="str">
        <f t="shared" si="12"/>
        <v/>
      </c>
      <c r="J13" s="39"/>
      <c r="K13" s="47">
        <f t="shared" si="15"/>
        <v>0</v>
      </c>
      <c r="L13" s="13"/>
      <c r="M13" s="41" t="str">
        <f t="shared" si="13"/>
        <v/>
      </c>
      <c r="O13" s="8" t="str">
        <f>IF(J13&lt;&gt;"",J13+K13+K12+K11+K10+K9+K8+K7,"")</f>
        <v/>
      </c>
      <c r="AL13" s="7"/>
    </row>
    <row r="14">
      <c r="A14" s="13"/>
      <c r="B14" s="34"/>
      <c r="C14" s="42" t="str">
        <f>IF(B14&lt;&gt;"","Ano 2033:","")</f>
        <v/>
      </c>
      <c r="D14" s="43" t="str">
        <f t="shared" si="14"/>
        <v/>
      </c>
      <c r="E14" s="43" t="str">
        <f t="shared" si="8"/>
        <v/>
      </c>
      <c r="F14" s="43" t="str">
        <f t="shared" si="9"/>
        <v/>
      </c>
      <c r="G14" s="44" t="str">
        <f t="shared" si="10"/>
        <v/>
      </c>
      <c r="H14" s="45" t="str">
        <f t="shared" si="11"/>
        <v/>
      </c>
      <c r="I14" s="44" t="str">
        <f t="shared" si="12"/>
        <v/>
      </c>
      <c r="J14" s="39"/>
      <c r="K14" s="46">
        <f t="shared" si="15"/>
        <v>0</v>
      </c>
      <c r="L14" s="13"/>
      <c r="M14" s="41" t="str">
        <f t="shared" si="13"/>
        <v/>
      </c>
      <c r="O14" s="8" t="str">
        <f>IF(J14&lt;&gt;"",J14+K14+K13+K12+K11+K10+K9+K8+K7,"")</f>
        <v/>
      </c>
      <c r="AL14" s="7"/>
    </row>
    <row r="15">
      <c r="A15" s="13"/>
      <c r="B15" s="34"/>
      <c r="C15" s="35" t="str">
        <f>IF(B15&lt;&gt;"","Ano 2034:","")</f>
        <v/>
      </c>
      <c r="D15" s="36" t="str">
        <f t="shared" si="14"/>
        <v/>
      </c>
      <c r="E15" s="36" t="str">
        <f t="shared" si="8"/>
        <v/>
      </c>
      <c r="F15" s="36" t="str">
        <f t="shared" si="9"/>
        <v/>
      </c>
      <c r="G15" s="37" t="str">
        <f t="shared" si="10"/>
        <v/>
      </c>
      <c r="H15" s="38" t="str">
        <f t="shared" si="11"/>
        <v/>
      </c>
      <c r="I15" s="37" t="str">
        <f t="shared" si="12"/>
        <v/>
      </c>
      <c r="J15" s="39"/>
      <c r="K15" s="47">
        <f t="shared" si="15"/>
        <v>0</v>
      </c>
      <c r="L15" s="13"/>
      <c r="M15" s="41" t="str">
        <f t="shared" si="13"/>
        <v/>
      </c>
      <c r="O15" s="8" t="str">
        <f>IF(J15&lt;&gt;"",J15+K15+K14+K13+K12+K11+K10+K9+K8+K7,"")</f>
        <v/>
      </c>
      <c r="AL15" s="7"/>
    </row>
    <row r="16">
      <c r="A16" s="13"/>
      <c r="B16" s="48"/>
      <c r="C16" s="49" t="str">
        <f>IF(B16&lt;&gt;"","Ano 2035:","")</f>
        <v/>
      </c>
      <c r="D16" s="50" t="str">
        <f t="shared" si="14"/>
        <v/>
      </c>
      <c r="E16" s="50" t="str">
        <f t="shared" si="8"/>
        <v/>
      </c>
      <c r="F16" s="50" t="str">
        <f t="shared" si="9"/>
        <v/>
      </c>
      <c r="G16" s="51" t="str">
        <f t="shared" si="10"/>
        <v/>
      </c>
      <c r="H16" s="52" t="str">
        <f t="shared" si="11"/>
        <v/>
      </c>
      <c r="I16" s="51" t="str">
        <f t="shared" si="12"/>
        <v/>
      </c>
      <c r="J16" s="53"/>
      <c r="K16" s="54">
        <f t="shared" si="15"/>
        <v>0</v>
      </c>
      <c r="L16" s="13"/>
      <c r="M16" s="55" t="str">
        <f t="shared" si="13"/>
        <v/>
      </c>
      <c r="O16" s="8" t="str">
        <f>IF(J16&lt;&gt;"",J16+K16+K15+K14+K13+K12+K11+K10+K9+K8+K7,"")</f>
        <v/>
      </c>
      <c r="AL16" s="7"/>
    </row>
    <row r="17" hidden="1">
      <c r="A17" s="13"/>
      <c r="D17" s="6"/>
      <c r="E17" s="6"/>
      <c r="H17" s="56"/>
      <c r="I17" s="4"/>
      <c r="AL17" s="7"/>
    </row>
    <row r="18" hidden="1">
      <c r="A18" s="13"/>
      <c r="D18" s="6"/>
      <c r="E18" s="6"/>
      <c r="F18" s="6" t="str">
        <f>IF(B18&lt;&gt;"",(F17/100*$D$4)*B15,"")</f>
        <v/>
      </c>
      <c r="H18" s="56"/>
      <c r="AL18" s="7"/>
    </row>
    <row r="19">
      <c r="A19" s="13"/>
      <c r="B19" s="13"/>
      <c r="C19" s="13"/>
      <c r="D19" s="14"/>
      <c r="E19" s="14"/>
      <c r="F19" s="15"/>
      <c r="G19" s="16"/>
      <c r="H19" s="57"/>
      <c r="I19" s="57"/>
      <c r="J19" s="14"/>
      <c r="K19" s="58">
        <f>SUM(K7:K18)</f>
        <v>0</v>
      </c>
      <c r="L19" s="59" t="s">
        <v>32</v>
      </c>
      <c r="M19" s="59"/>
      <c r="AL19" s="7"/>
    </row>
    <row r="20">
      <c r="A20" s="13"/>
      <c r="B20" s="13"/>
      <c r="C20" s="13"/>
      <c r="D20" s="14"/>
      <c r="E20" s="14"/>
      <c r="F20" s="15"/>
      <c r="G20" s="16"/>
      <c r="H20" s="14"/>
      <c r="I20" s="14"/>
      <c r="J20" s="14"/>
      <c r="K20" s="58">
        <f>K19/100*0.8</f>
        <v>0</v>
      </c>
      <c r="L20" s="59" t="s">
        <v>33</v>
      </c>
      <c r="M20" s="59"/>
      <c r="AL20" s="7"/>
    </row>
    <row r="21" s="7" customFormat="1">
      <c r="A21" s="13"/>
      <c r="B21" s="13"/>
      <c r="C21" s="13"/>
      <c r="D21" s="14"/>
      <c r="E21" s="14"/>
      <c r="F21" s="15"/>
      <c r="G21" s="16"/>
      <c r="H21" s="14"/>
      <c r="I21" s="14"/>
      <c r="J21" s="14"/>
      <c r="K21" s="14"/>
      <c r="L21" s="13"/>
      <c r="M21" s="13"/>
      <c r="O21" s="8"/>
    </row>
    <row r="22" s="7" customFormat="1">
      <c r="D22" s="60"/>
      <c r="E22" s="60"/>
      <c r="F22" s="61"/>
      <c r="G22" s="8"/>
      <c r="H22" s="60"/>
      <c r="I22" s="60"/>
      <c r="J22" s="60"/>
      <c r="K22" s="60"/>
      <c r="O22" s="8"/>
    </row>
    <row r="23" s="7" customFormat="1">
      <c r="D23" s="60"/>
      <c r="E23" s="60"/>
      <c r="F23" s="61"/>
      <c r="G23" s="8"/>
      <c r="H23" s="60"/>
      <c r="I23" s="60"/>
      <c r="J23" s="60"/>
      <c r="K23" s="60"/>
      <c r="O23" s="8"/>
    </row>
    <row r="24" s="7" customFormat="1">
      <c r="D24" s="60"/>
      <c r="E24" s="60"/>
      <c r="F24" s="61"/>
      <c r="G24" s="8"/>
      <c r="H24" s="60"/>
      <c r="I24" s="60"/>
      <c r="J24" s="60"/>
      <c r="K24" s="60"/>
      <c r="O24" s="8"/>
    </row>
    <row r="25" s="7" customFormat="1">
      <c r="D25" s="60"/>
      <c r="E25" s="60"/>
      <c r="F25" s="61"/>
      <c r="G25" s="8"/>
      <c r="H25" s="60"/>
      <c r="I25" s="60"/>
      <c r="J25" s="60"/>
      <c r="K25" s="60"/>
      <c r="O25" s="8"/>
    </row>
    <row r="26" s="7" customFormat="1">
      <c r="D26" s="60"/>
      <c r="E26" s="60"/>
      <c r="F26" s="61"/>
      <c r="G26" s="8"/>
      <c r="H26" s="60"/>
      <c r="I26" s="60"/>
      <c r="J26" s="60"/>
      <c r="K26" s="60"/>
      <c r="O26" s="8"/>
    </row>
    <row r="27" s="7" customFormat="1">
      <c r="D27" s="60"/>
      <c r="E27" s="60"/>
      <c r="F27" s="61"/>
      <c r="G27" s="8"/>
      <c r="H27" s="60"/>
      <c r="I27" s="60"/>
      <c r="J27" s="60"/>
      <c r="K27" s="60"/>
      <c r="O27" s="8"/>
    </row>
    <row r="28" s="7" customFormat="1">
      <c r="D28" s="60"/>
      <c r="E28" s="60"/>
      <c r="F28" s="61"/>
      <c r="G28" s="8"/>
      <c r="H28" s="60"/>
      <c r="I28" s="60"/>
      <c r="J28" s="60"/>
      <c r="K28" s="60"/>
      <c r="O28" s="8"/>
    </row>
    <row r="29" s="7" customFormat="1">
      <c r="D29" s="60"/>
      <c r="E29" s="60"/>
      <c r="F29" s="61"/>
      <c r="G29" s="8"/>
      <c r="H29" s="60"/>
      <c r="I29" s="60"/>
      <c r="J29" s="60"/>
      <c r="K29" s="60"/>
      <c r="O29" s="8"/>
    </row>
    <row r="30" s="7" customFormat="1">
      <c r="D30" s="60"/>
      <c r="E30" s="60"/>
      <c r="F30" s="61"/>
      <c r="G30" s="8"/>
      <c r="H30" s="60"/>
      <c r="I30" s="60"/>
      <c r="J30" s="60"/>
      <c r="K30" s="60"/>
      <c r="O30" s="8"/>
    </row>
    <row r="31" s="7" customFormat="1">
      <c r="D31" s="60"/>
      <c r="E31" s="60"/>
      <c r="F31" s="61"/>
      <c r="G31" s="8"/>
      <c r="H31" s="60"/>
      <c r="I31" s="60"/>
      <c r="J31" s="60"/>
      <c r="K31" s="60"/>
      <c r="O31" s="8"/>
    </row>
    <row r="32" s="7" customFormat="1">
      <c r="D32" s="60"/>
      <c r="E32" s="60"/>
      <c r="F32" s="61"/>
      <c r="G32" s="8"/>
      <c r="H32" s="60"/>
      <c r="I32" s="60"/>
      <c r="J32" s="60"/>
      <c r="K32" s="60"/>
      <c r="O32" s="8"/>
    </row>
    <row r="33" s="7" customFormat="1">
      <c r="D33" s="60"/>
      <c r="E33" s="60"/>
      <c r="F33" s="61"/>
      <c r="G33" s="8"/>
      <c r="H33" s="60"/>
      <c r="I33" s="60"/>
      <c r="J33" s="60"/>
      <c r="K33" s="60"/>
      <c r="O33" s="8"/>
    </row>
    <row r="34" s="7" customFormat="1">
      <c r="D34" s="60"/>
      <c r="E34" s="60"/>
      <c r="F34" s="61"/>
      <c r="G34" s="8"/>
      <c r="H34" s="60"/>
      <c r="I34" s="60"/>
      <c r="J34" s="60"/>
      <c r="K34" s="60"/>
      <c r="O34" s="8"/>
    </row>
    <row r="35" s="7" customFormat="1">
      <c r="D35" s="60"/>
      <c r="E35" s="60"/>
      <c r="F35" s="61"/>
      <c r="G35" s="8"/>
      <c r="H35" s="60"/>
      <c r="I35" s="60"/>
      <c r="J35" s="60"/>
      <c r="K35" s="60"/>
      <c r="O35" s="8"/>
    </row>
    <row r="36" s="7" customFormat="1">
      <c r="D36" s="60"/>
      <c r="E36" s="60"/>
      <c r="F36" s="61"/>
      <c r="G36" s="8"/>
      <c r="H36" s="60"/>
      <c r="I36" s="60"/>
      <c r="J36" s="60"/>
      <c r="K36" s="60"/>
      <c r="O36" s="8"/>
    </row>
    <row r="37" s="7" customFormat="1">
      <c r="D37" s="60"/>
      <c r="E37" s="60"/>
      <c r="F37" s="61"/>
      <c r="G37" s="8"/>
      <c r="H37" s="60"/>
      <c r="I37" s="60"/>
      <c r="J37" s="60"/>
      <c r="K37" s="60"/>
      <c r="O37" s="8"/>
    </row>
    <row r="38" s="7" customFormat="1">
      <c r="D38" s="60"/>
      <c r="E38" s="60"/>
      <c r="F38" s="61"/>
      <c r="G38" s="8"/>
      <c r="H38" s="60"/>
      <c r="I38" s="60"/>
      <c r="J38" s="60"/>
      <c r="K38" s="60"/>
      <c r="O38" s="8"/>
    </row>
    <row r="39" s="7" customFormat="1">
      <c r="D39" s="60"/>
      <c r="E39" s="60"/>
      <c r="F39" s="61"/>
      <c r="G39" s="8"/>
      <c r="H39" s="60"/>
      <c r="I39" s="60"/>
      <c r="J39" s="60"/>
      <c r="K39" s="60"/>
      <c r="O39" s="8"/>
    </row>
    <row r="40" s="7" customFormat="1">
      <c r="D40" s="60"/>
      <c r="E40" s="60"/>
      <c r="F40" s="61"/>
      <c r="G40" s="8"/>
      <c r="H40" s="60"/>
      <c r="I40" s="60"/>
      <c r="J40" s="60"/>
      <c r="K40" s="60"/>
      <c r="O40" s="8"/>
    </row>
    <row r="41" s="7" customFormat="1">
      <c r="D41" s="60"/>
      <c r="E41" s="60"/>
      <c r="F41" s="61"/>
      <c r="G41" s="8"/>
      <c r="H41" s="60"/>
      <c r="I41" s="60"/>
      <c r="J41" s="60"/>
      <c r="K41" s="60"/>
      <c r="O41" s="8"/>
    </row>
    <row r="42" s="7" customFormat="1">
      <c r="D42" s="60"/>
      <c r="E42" s="60"/>
      <c r="F42" s="61"/>
      <c r="G42" s="8"/>
      <c r="H42" s="60"/>
      <c r="I42" s="60"/>
      <c r="J42" s="60"/>
      <c r="K42" s="60"/>
      <c r="O42" s="8"/>
    </row>
    <row r="43" s="7" customFormat="1">
      <c r="D43" s="60"/>
      <c r="E43" s="60"/>
      <c r="F43" s="61"/>
      <c r="G43" s="8"/>
      <c r="H43" s="60"/>
      <c r="I43" s="60"/>
      <c r="J43" s="60"/>
      <c r="K43" s="60"/>
      <c r="O43" s="8"/>
    </row>
    <row r="44" s="7" customFormat="1">
      <c r="D44" s="60"/>
      <c r="E44" s="60"/>
      <c r="F44" s="61"/>
      <c r="G44" s="8"/>
      <c r="H44" s="60"/>
      <c r="I44" s="60"/>
      <c r="J44" s="60"/>
      <c r="K44" s="60"/>
      <c r="O44" s="8"/>
    </row>
    <row r="45" s="7" customFormat="1">
      <c r="D45" s="60"/>
      <c r="E45" s="60"/>
      <c r="F45" s="61"/>
      <c r="G45" s="8"/>
      <c r="H45" s="60"/>
      <c r="I45" s="60"/>
      <c r="J45" s="60"/>
      <c r="K45" s="60"/>
      <c r="O45" s="8"/>
    </row>
    <row r="46" s="7" customFormat="1">
      <c r="D46" s="60"/>
      <c r="E46" s="60"/>
      <c r="F46" s="61"/>
      <c r="G46" s="8"/>
      <c r="H46" s="60"/>
      <c r="I46" s="60"/>
      <c r="J46" s="60"/>
      <c r="K46" s="60"/>
      <c r="O46" s="8"/>
    </row>
    <row r="47" s="7" customFormat="1">
      <c r="D47" s="60"/>
      <c r="E47" s="60"/>
      <c r="F47" s="61"/>
      <c r="G47" s="8"/>
      <c r="H47" s="60"/>
      <c r="I47" s="60"/>
      <c r="J47" s="60"/>
      <c r="K47" s="60"/>
      <c r="O47" s="8"/>
    </row>
    <row r="48" s="7" customFormat="1">
      <c r="D48" s="60"/>
      <c r="E48" s="60"/>
      <c r="F48" s="61"/>
      <c r="G48" s="8"/>
      <c r="H48" s="60"/>
      <c r="I48" s="60"/>
      <c r="J48" s="60"/>
      <c r="K48" s="60"/>
      <c r="O48" s="8"/>
    </row>
    <row r="49" s="7" customFormat="1">
      <c r="D49" s="60"/>
      <c r="E49" s="60"/>
      <c r="F49" s="61"/>
      <c r="G49" s="8"/>
      <c r="H49" s="60"/>
      <c r="I49" s="60"/>
      <c r="J49" s="60"/>
      <c r="K49" s="60"/>
      <c r="O49" s="8"/>
    </row>
    <row r="50" s="7" customFormat="1">
      <c r="D50" s="60"/>
      <c r="E50" s="60"/>
      <c r="F50" s="61"/>
      <c r="G50" s="8"/>
      <c r="H50" s="60"/>
      <c r="I50" s="60"/>
      <c r="J50" s="60"/>
      <c r="K50" s="60"/>
      <c r="O50" s="8"/>
    </row>
    <row r="51" s="7" customFormat="1">
      <c r="D51" s="60"/>
      <c r="E51" s="60"/>
      <c r="F51" s="61"/>
      <c r="G51" s="8"/>
      <c r="H51" s="60"/>
      <c r="I51" s="60"/>
      <c r="J51" s="60"/>
      <c r="K51" s="60"/>
      <c r="O51" s="8"/>
    </row>
    <row r="52" s="7" customFormat="1">
      <c r="D52" s="60"/>
      <c r="E52" s="60"/>
      <c r="F52" s="61"/>
      <c r="G52" s="8"/>
      <c r="H52" s="60"/>
      <c r="I52" s="60"/>
      <c r="J52" s="60"/>
      <c r="K52" s="60"/>
      <c r="O52" s="8"/>
    </row>
    <row r="53" s="7" customFormat="1">
      <c r="D53" s="60"/>
      <c r="E53" s="60"/>
      <c r="F53" s="61"/>
      <c r="G53" s="8"/>
      <c r="H53" s="60"/>
      <c r="I53" s="60"/>
      <c r="J53" s="60"/>
      <c r="K53" s="60"/>
      <c r="O53" s="8"/>
    </row>
    <row r="54" s="7" customFormat="1">
      <c r="D54" s="60"/>
      <c r="E54" s="60"/>
      <c r="F54" s="61"/>
      <c r="G54" s="8"/>
      <c r="H54" s="60"/>
      <c r="I54" s="60"/>
      <c r="J54" s="60"/>
      <c r="K54" s="60"/>
      <c r="O54" s="8"/>
    </row>
    <row r="55" s="7" customFormat="1">
      <c r="D55" s="60"/>
      <c r="E55" s="60"/>
      <c r="F55" s="61"/>
      <c r="G55" s="8"/>
      <c r="H55" s="60"/>
      <c r="I55" s="60"/>
      <c r="J55" s="60"/>
      <c r="K55" s="60"/>
      <c r="O55" s="8"/>
    </row>
    <row r="56" s="7" customFormat="1">
      <c r="D56" s="60"/>
      <c r="E56" s="60"/>
      <c r="F56" s="61"/>
      <c r="G56" s="8"/>
      <c r="H56" s="60"/>
      <c r="I56" s="60"/>
      <c r="J56" s="60"/>
      <c r="K56" s="60"/>
      <c r="O56" s="8"/>
    </row>
    <row r="57" s="7" customFormat="1">
      <c r="D57" s="60"/>
      <c r="E57" s="60"/>
      <c r="F57" s="61"/>
      <c r="G57" s="8"/>
      <c r="H57" s="60"/>
      <c r="I57" s="60"/>
      <c r="J57" s="60"/>
      <c r="K57" s="60"/>
      <c r="O57" s="8"/>
    </row>
    <row r="58" s="7" customFormat="1">
      <c r="D58" s="60"/>
      <c r="E58" s="60"/>
      <c r="F58" s="61"/>
      <c r="G58" s="8"/>
      <c r="H58" s="60"/>
      <c r="I58" s="60"/>
      <c r="J58" s="60"/>
      <c r="K58" s="60"/>
      <c r="O58" s="8"/>
    </row>
    <row r="59" s="7" customFormat="1">
      <c r="D59" s="60"/>
      <c r="E59" s="60"/>
      <c r="F59" s="61"/>
      <c r="G59" s="8"/>
      <c r="H59" s="60"/>
      <c r="I59" s="60"/>
      <c r="J59" s="60"/>
      <c r="K59" s="60"/>
      <c r="O59" s="8"/>
    </row>
    <row r="60" s="7" customFormat="1">
      <c r="D60" s="60"/>
      <c r="E60" s="60"/>
      <c r="F60" s="61"/>
      <c r="G60" s="8"/>
      <c r="H60" s="60"/>
      <c r="I60" s="60"/>
      <c r="J60" s="60"/>
      <c r="K60" s="60"/>
      <c r="O60" s="8"/>
    </row>
    <row r="61" s="7" customFormat="1">
      <c r="D61" s="60"/>
      <c r="E61" s="60"/>
      <c r="F61" s="61"/>
      <c r="G61" s="8"/>
      <c r="H61" s="60"/>
      <c r="I61" s="60"/>
      <c r="J61" s="60"/>
      <c r="K61" s="60"/>
      <c r="O61" s="8"/>
    </row>
    <row r="62" s="7" customFormat="1">
      <c r="D62" s="60"/>
      <c r="E62" s="60"/>
      <c r="F62" s="61"/>
      <c r="G62" s="8"/>
      <c r="H62" s="60"/>
      <c r="I62" s="60"/>
      <c r="J62" s="60"/>
      <c r="K62" s="60"/>
      <c r="O62" s="8"/>
    </row>
    <row r="63" s="7" customFormat="1">
      <c r="D63" s="60"/>
      <c r="E63" s="60"/>
      <c r="F63" s="61"/>
      <c r="G63" s="8"/>
      <c r="H63" s="60"/>
      <c r="I63" s="60"/>
      <c r="J63" s="60"/>
      <c r="K63" s="60"/>
      <c r="O63" s="8"/>
    </row>
    <row r="64" s="7" customFormat="1">
      <c r="D64" s="60"/>
      <c r="E64" s="60"/>
      <c r="F64" s="61"/>
      <c r="G64" s="8"/>
      <c r="H64" s="60"/>
      <c r="I64" s="60"/>
      <c r="J64" s="60"/>
      <c r="K64" s="60"/>
      <c r="O64" s="8"/>
    </row>
    <row r="65" s="7" customFormat="1">
      <c r="D65" s="60"/>
      <c r="E65" s="60"/>
      <c r="F65" s="61"/>
      <c r="G65" s="8"/>
      <c r="H65" s="60"/>
      <c r="I65" s="60"/>
      <c r="J65" s="60"/>
      <c r="K65" s="60"/>
      <c r="O65" s="8"/>
    </row>
    <row r="66" s="7" customFormat="1">
      <c r="D66" s="60"/>
      <c r="E66" s="60"/>
      <c r="F66" s="61"/>
      <c r="G66" s="8"/>
      <c r="H66" s="60"/>
      <c r="I66" s="60"/>
      <c r="J66" s="60"/>
      <c r="K66" s="60"/>
      <c r="O66" s="8"/>
    </row>
    <row r="67" s="7" customFormat="1">
      <c r="D67" s="60"/>
      <c r="E67" s="60"/>
      <c r="F67" s="61"/>
      <c r="G67" s="8"/>
      <c r="H67" s="60"/>
      <c r="I67" s="60"/>
      <c r="J67" s="60"/>
      <c r="K67" s="60"/>
      <c r="O67" s="8"/>
    </row>
    <row r="68" s="7" customFormat="1">
      <c r="D68" s="60"/>
      <c r="E68" s="60"/>
      <c r="F68" s="61"/>
      <c r="G68" s="8"/>
      <c r="H68" s="60"/>
      <c r="I68" s="60"/>
      <c r="J68" s="60"/>
      <c r="K68" s="60"/>
      <c r="O68" s="8"/>
    </row>
    <row r="69" s="7" customFormat="1">
      <c r="D69" s="60"/>
      <c r="E69" s="60"/>
      <c r="F69" s="61"/>
      <c r="G69" s="8"/>
      <c r="H69" s="60"/>
      <c r="I69" s="60"/>
      <c r="J69" s="60"/>
      <c r="K69" s="60"/>
      <c r="O69" s="8"/>
    </row>
    <row r="70" s="7" customFormat="1">
      <c r="D70" s="60"/>
      <c r="E70" s="60"/>
      <c r="F70" s="61"/>
      <c r="G70" s="8"/>
      <c r="H70" s="60"/>
      <c r="I70" s="60"/>
      <c r="J70" s="60"/>
      <c r="K70" s="60"/>
      <c r="O70" s="8"/>
    </row>
    <row r="71" s="7" customFormat="1">
      <c r="D71" s="60"/>
      <c r="E71" s="60"/>
      <c r="F71" s="61"/>
      <c r="G71" s="8"/>
      <c r="H71" s="60"/>
      <c r="I71" s="60"/>
      <c r="J71" s="60"/>
      <c r="K71" s="60"/>
      <c r="O71" s="8"/>
    </row>
    <row r="72" s="7" customFormat="1">
      <c r="D72" s="60"/>
      <c r="E72" s="60"/>
      <c r="F72" s="61"/>
      <c r="G72" s="8"/>
      <c r="H72" s="60"/>
      <c r="I72" s="60"/>
      <c r="J72" s="60"/>
      <c r="K72" s="60"/>
      <c r="O72" s="8"/>
    </row>
    <row r="73" s="7" customFormat="1">
      <c r="D73" s="60"/>
      <c r="E73" s="60"/>
      <c r="F73" s="61"/>
      <c r="G73" s="8"/>
      <c r="H73" s="60"/>
      <c r="I73" s="60"/>
      <c r="J73" s="60"/>
      <c r="K73" s="60"/>
      <c r="O73" s="8"/>
    </row>
    <row r="74" s="7" customFormat="1">
      <c r="D74" s="60"/>
      <c r="E74" s="60"/>
      <c r="F74" s="61"/>
      <c r="G74" s="8"/>
      <c r="H74" s="60"/>
      <c r="I74" s="60"/>
      <c r="J74" s="60"/>
      <c r="K74" s="60"/>
      <c r="O74" s="8"/>
    </row>
    <row r="75" s="7" customFormat="1">
      <c r="D75" s="60"/>
      <c r="E75" s="60"/>
      <c r="F75" s="61"/>
      <c r="G75" s="8"/>
      <c r="H75" s="60"/>
      <c r="I75" s="60"/>
      <c r="J75" s="60"/>
      <c r="K75" s="60"/>
      <c r="O75" s="8"/>
    </row>
    <row r="76" s="7" customFormat="1">
      <c r="D76" s="60"/>
      <c r="E76" s="60"/>
      <c r="F76" s="61"/>
      <c r="G76" s="8"/>
      <c r="H76" s="60"/>
      <c r="I76" s="60"/>
      <c r="J76" s="60"/>
      <c r="K76" s="60"/>
      <c r="O76" s="8"/>
    </row>
    <row r="77" s="7" customFormat="1">
      <c r="D77" s="60"/>
      <c r="E77" s="60"/>
      <c r="F77" s="61"/>
      <c r="G77" s="8"/>
      <c r="H77" s="60"/>
      <c r="I77" s="60"/>
      <c r="J77" s="60"/>
      <c r="K77" s="60"/>
      <c r="O77" s="8"/>
    </row>
    <row r="78" s="7" customFormat="1">
      <c r="D78" s="60"/>
      <c r="E78" s="60"/>
      <c r="F78" s="61"/>
      <c r="G78" s="8"/>
      <c r="H78" s="60"/>
      <c r="I78" s="60"/>
      <c r="J78" s="60"/>
      <c r="K78" s="60"/>
      <c r="O78" s="8"/>
    </row>
    <row r="79" s="7" customFormat="1">
      <c r="D79" s="60"/>
      <c r="E79" s="60"/>
      <c r="F79" s="61"/>
      <c r="G79" s="8"/>
      <c r="H79" s="60"/>
      <c r="I79" s="60"/>
      <c r="J79" s="60"/>
      <c r="K79" s="60"/>
      <c r="O79" s="8"/>
    </row>
    <row r="80" s="7" customFormat="1">
      <c r="D80" s="60"/>
      <c r="E80" s="60"/>
      <c r="F80" s="61"/>
      <c r="G80" s="8"/>
      <c r="H80" s="60"/>
      <c r="I80" s="60"/>
      <c r="J80" s="60"/>
      <c r="K80" s="60"/>
      <c r="O80" s="8"/>
    </row>
    <row r="81" s="7" customFormat="1">
      <c r="D81" s="60"/>
      <c r="E81" s="60"/>
      <c r="F81" s="61"/>
      <c r="G81" s="8"/>
      <c r="H81" s="60"/>
      <c r="I81" s="60"/>
      <c r="J81" s="60"/>
      <c r="K81" s="60"/>
      <c r="O81" s="8"/>
    </row>
    <row r="82" s="7" customFormat="1">
      <c r="D82" s="60"/>
      <c r="E82" s="60"/>
      <c r="F82" s="61"/>
      <c r="G82" s="8"/>
      <c r="H82" s="60"/>
      <c r="I82" s="60"/>
      <c r="J82" s="60"/>
      <c r="K82" s="60"/>
      <c r="O82" s="8"/>
    </row>
    <row r="83" s="7" customFormat="1">
      <c r="D83" s="60"/>
      <c r="E83" s="60"/>
      <c r="F83" s="61"/>
      <c r="G83" s="8"/>
      <c r="H83" s="60"/>
      <c r="I83" s="60"/>
      <c r="J83" s="60"/>
      <c r="K83" s="60"/>
      <c r="O83" s="8"/>
    </row>
    <row r="84" s="7" customFormat="1">
      <c r="D84" s="60"/>
      <c r="E84" s="60"/>
      <c r="F84" s="61"/>
      <c r="G84" s="8"/>
      <c r="H84" s="60"/>
      <c r="I84" s="60"/>
      <c r="J84" s="60"/>
      <c r="K84" s="60"/>
      <c r="O84" s="8"/>
    </row>
    <row r="85" s="7" customFormat="1">
      <c r="D85" s="60"/>
      <c r="E85" s="60"/>
      <c r="F85" s="61"/>
      <c r="G85" s="8"/>
      <c r="H85" s="60"/>
      <c r="I85" s="60"/>
      <c r="J85" s="60"/>
      <c r="K85" s="60"/>
      <c r="O85" s="8"/>
    </row>
    <row r="86" s="7" customFormat="1">
      <c r="D86" s="60"/>
      <c r="E86" s="60"/>
      <c r="F86" s="61"/>
      <c r="G86" s="8"/>
      <c r="H86" s="60"/>
      <c r="I86" s="60"/>
      <c r="J86" s="60"/>
      <c r="K86" s="60"/>
      <c r="O86" s="8"/>
    </row>
    <row r="87" s="7" customFormat="1">
      <c r="D87" s="60"/>
      <c r="E87" s="60"/>
      <c r="F87" s="61"/>
      <c r="G87" s="8"/>
      <c r="H87" s="60"/>
      <c r="I87" s="60"/>
      <c r="J87" s="60"/>
      <c r="K87" s="60"/>
      <c r="O87" s="8"/>
    </row>
    <row r="88" s="7" customFormat="1">
      <c r="D88" s="60"/>
      <c r="E88" s="60"/>
      <c r="F88" s="61"/>
      <c r="G88" s="8"/>
      <c r="H88" s="60"/>
      <c r="I88" s="60"/>
      <c r="J88" s="60"/>
      <c r="K88" s="60"/>
      <c r="O88" s="8"/>
    </row>
    <row r="89" s="7" customFormat="1">
      <c r="D89" s="60"/>
      <c r="E89" s="60"/>
      <c r="F89" s="61"/>
      <c r="G89" s="8"/>
      <c r="H89" s="60"/>
      <c r="I89" s="60"/>
      <c r="J89" s="60"/>
      <c r="K89" s="60"/>
      <c r="O89" s="8"/>
    </row>
    <row r="90" s="7" customFormat="1">
      <c r="D90" s="60"/>
      <c r="E90" s="60"/>
      <c r="F90" s="61"/>
      <c r="G90" s="8"/>
      <c r="H90" s="60"/>
      <c r="I90" s="60"/>
      <c r="J90" s="60"/>
      <c r="K90" s="60"/>
      <c r="O90" s="8"/>
    </row>
    <row r="91" s="7" customFormat="1">
      <c r="D91" s="60"/>
      <c r="E91" s="60"/>
      <c r="F91" s="61"/>
      <c r="G91" s="8"/>
      <c r="H91" s="60"/>
      <c r="I91" s="60"/>
      <c r="J91" s="60"/>
      <c r="K91" s="60"/>
      <c r="O91" s="8"/>
    </row>
    <row r="92" s="7" customFormat="1">
      <c r="D92" s="60"/>
      <c r="E92" s="60"/>
      <c r="F92" s="61"/>
      <c r="G92" s="8"/>
      <c r="H92" s="60"/>
      <c r="I92" s="60"/>
      <c r="J92" s="60"/>
      <c r="K92" s="60"/>
      <c r="O92" s="8"/>
    </row>
    <row r="93" s="7" customFormat="1">
      <c r="D93" s="60"/>
      <c r="E93" s="60"/>
      <c r="F93" s="61"/>
      <c r="G93" s="8"/>
      <c r="H93" s="60"/>
      <c r="I93" s="60"/>
      <c r="J93" s="60"/>
      <c r="K93" s="60"/>
      <c r="O93" s="8"/>
    </row>
    <row r="94" s="7" customFormat="1">
      <c r="D94" s="60"/>
      <c r="E94" s="60"/>
      <c r="F94" s="61"/>
      <c r="G94" s="8"/>
      <c r="H94" s="60"/>
      <c r="I94" s="60"/>
      <c r="J94" s="60"/>
      <c r="K94" s="60"/>
      <c r="O94" s="8"/>
    </row>
    <row r="95" s="7" customFormat="1">
      <c r="D95" s="60"/>
      <c r="E95" s="60"/>
      <c r="F95" s="61"/>
      <c r="G95" s="8"/>
      <c r="H95" s="60"/>
      <c r="I95" s="60"/>
      <c r="J95" s="60"/>
      <c r="K95" s="60"/>
      <c r="O95" s="8"/>
    </row>
    <row r="96" s="7" customFormat="1">
      <c r="D96" s="60"/>
      <c r="E96" s="60"/>
      <c r="F96" s="61"/>
      <c r="G96" s="8"/>
      <c r="H96" s="60"/>
      <c r="I96" s="60"/>
      <c r="J96" s="60"/>
      <c r="K96" s="60"/>
      <c r="O96" s="8"/>
    </row>
    <row r="97" s="7" customFormat="1">
      <c r="D97" s="60"/>
      <c r="E97" s="60"/>
      <c r="F97" s="61"/>
      <c r="G97" s="8"/>
      <c r="H97" s="60"/>
      <c r="I97" s="60"/>
      <c r="J97" s="60"/>
      <c r="K97" s="60"/>
      <c r="O97" s="8"/>
    </row>
    <row r="98" s="7" customFormat="1">
      <c r="D98" s="60"/>
      <c r="E98" s="60"/>
      <c r="F98" s="61"/>
      <c r="G98" s="8"/>
      <c r="H98" s="60"/>
      <c r="I98" s="60"/>
      <c r="J98" s="60"/>
      <c r="K98" s="60"/>
      <c r="O98" s="8"/>
    </row>
    <row r="99" s="7" customFormat="1">
      <c r="D99" s="60"/>
      <c r="E99" s="60"/>
      <c r="F99" s="61"/>
      <c r="G99" s="8"/>
      <c r="H99" s="60"/>
      <c r="I99" s="60"/>
      <c r="J99" s="60"/>
      <c r="K99" s="60"/>
      <c r="O99" s="8"/>
    </row>
    <row r="100" s="7" customFormat="1">
      <c r="D100" s="60"/>
      <c r="E100" s="60"/>
      <c r="F100" s="61"/>
      <c r="G100" s="8"/>
      <c r="H100" s="60"/>
      <c r="I100" s="60"/>
      <c r="J100" s="60"/>
      <c r="K100" s="60"/>
      <c r="O100" s="8"/>
    </row>
    <row r="101" s="7" customFormat="1">
      <c r="D101" s="60"/>
      <c r="E101" s="60"/>
      <c r="F101" s="61"/>
      <c r="G101" s="8"/>
      <c r="H101" s="60"/>
      <c r="I101" s="60"/>
      <c r="J101" s="60"/>
      <c r="K101" s="60"/>
      <c r="O101" s="8"/>
    </row>
    <row r="102" s="7" customFormat="1">
      <c r="D102" s="60"/>
      <c r="E102" s="60"/>
      <c r="F102" s="61"/>
      <c r="G102" s="8"/>
      <c r="H102" s="60"/>
      <c r="I102" s="60"/>
      <c r="J102" s="60"/>
      <c r="K102" s="60"/>
      <c r="O102" s="8"/>
    </row>
    <row r="103" s="7" customFormat="1">
      <c r="D103" s="60"/>
      <c r="E103" s="60"/>
      <c r="F103" s="61"/>
      <c r="G103" s="8"/>
      <c r="H103" s="60"/>
      <c r="I103" s="60"/>
      <c r="J103" s="60"/>
      <c r="K103" s="60"/>
      <c r="O103" s="8"/>
    </row>
    <row r="104" s="7" customFormat="1">
      <c r="D104" s="60"/>
      <c r="E104" s="60"/>
      <c r="F104" s="61"/>
      <c r="G104" s="8"/>
      <c r="H104" s="60"/>
      <c r="I104" s="60"/>
      <c r="J104" s="60"/>
      <c r="K104" s="60"/>
      <c r="O104" s="8"/>
    </row>
    <row r="105" s="7" customFormat="1">
      <c r="D105" s="60"/>
      <c r="E105" s="60"/>
      <c r="F105" s="61"/>
      <c r="G105" s="8"/>
      <c r="H105" s="60"/>
      <c r="I105" s="60"/>
      <c r="J105" s="60"/>
      <c r="K105" s="60"/>
      <c r="O105" s="8"/>
    </row>
    <row r="106" s="7" customFormat="1">
      <c r="D106" s="60"/>
      <c r="E106" s="60"/>
      <c r="F106" s="61"/>
      <c r="G106" s="8"/>
      <c r="H106" s="60"/>
      <c r="I106" s="60"/>
      <c r="J106" s="60"/>
      <c r="K106" s="60"/>
      <c r="O106" s="8"/>
    </row>
    <row r="107" s="7" customFormat="1">
      <c r="D107" s="60"/>
      <c r="E107" s="60"/>
      <c r="F107" s="61"/>
      <c r="G107" s="8"/>
      <c r="H107" s="60"/>
      <c r="I107" s="60"/>
      <c r="J107" s="60"/>
      <c r="K107" s="60"/>
      <c r="O107" s="8"/>
    </row>
    <row r="108" s="7" customFormat="1">
      <c r="D108" s="60"/>
      <c r="E108" s="60"/>
      <c r="F108" s="61"/>
      <c r="G108" s="8"/>
      <c r="H108" s="60"/>
      <c r="I108" s="60"/>
      <c r="J108" s="60"/>
      <c r="K108" s="60"/>
      <c r="O108" s="8"/>
    </row>
    <row r="109" s="7" customFormat="1">
      <c r="D109" s="60"/>
      <c r="E109" s="60"/>
      <c r="F109" s="61"/>
      <c r="G109" s="8"/>
      <c r="H109" s="60"/>
      <c r="I109" s="60"/>
      <c r="J109" s="60"/>
      <c r="K109" s="60"/>
      <c r="O109" s="8"/>
    </row>
    <row r="110" s="7" customFormat="1">
      <c r="D110" s="60"/>
      <c r="E110" s="60"/>
      <c r="F110" s="61"/>
      <c r="G110" s="8"/>
      <c r="H110" s="60"/>
      <c r="I110" s="60"/>
      <c r="J110" s="60"/>
      <c r="K110" s="60"/>
      <c r="O110" s="8"/>
    </row>
    <row r="111" s="7" customFormat="1">
      <c r="D111" s="60"/>
      <c r="E111" s="60"/>
      <c r="F111" s="61"/>
      <c r="G111" s="8"/>
      <c r="H111" s="60"/>
      <c r="I111" s="60"/>
      <c r="J111" s="60"/>
      <c r="K111" s="60"/>
      <c r="O111" s="8"/>
    </row>
    <row r="112" s="7" customFormat="1">
      <c r="D112" s="60"/>
      <c r="E112" s="60"/>
      <c r="F112" s="61"/>
      <c r="G112" s="8"/>
      <c r="H112" s="60"/>
      <c r="I112" s="60"/>
      <c r="J112" s="60"/>
      <c r="K112" s="60"/>
      <c r="O112" s="8"/>
    </row>
    <row r="113" s="7" customFormat="1">
      <c r="D113" s="60"/>
      <c r="E113" s="60"/>
      <c r="F113" s="61"/>
      <c r="G113" s="8"/>
      <c r="H113" s="60"/>
      <c r="I113" s="60"/>
      <c r="J113" s="60"/>
      <c r="K113" s="60"/>
      <c r="O113" s="8"/>
    </row>
    <row r="114" s="7" customFormat="1">
      <c r="D114" s="60"/>
      <c r="E114" s="60"/>
      <c r="F114" s="61"/>
      <c r="G114" s="8"/>
      <c r="H114" s="60"/>
      <c r="I114" s="60"/>
      <c r="J114" s="60"/>
      <c r="K114" s="60"/>
      <c r="O114" s="8"/>
    </row>
    <row r="115" s="7" customFormat="1">
      <c r="D115" s="60"/>
      <c r="E115" s="60"/>
      <c r="F115" s="61"/>
      <c r="G115" s="8"/>
      <c r="H115" s="60"/>
      <c r="I115" s="60"/>
      <c r="J115" s="60"/>
      <c r="K115" s="60"/>
      <c r="O115" s="8"/>
    </row>
    <row r="116" s="7" customFormat="1">
      <c r="D116" s="60"/>
      <c r="E116" s="60"/>
      <c r="F116" s="61"/>
      <c r="G116" s="8"/>
      <c r="H116" s="60"/>
      <c r="I116" s="60"/>
      <c r="J116" s="60"/>
      <c r="K116" s="60"/>
      <c r="O116" s="8"/>
    </row>
    <row r="117" s="7" customFormat="1">
      <c r="D117" s="60"/>
      <c r="E117" s="60"/>
      <c r="F117" s="61"/>
      <c r="G117" s="8"/>
      <c r="H117" s="60"/>
      <c r="I117" s="60"/>
      <c r="J117" s="60"/>
      <c r="K117" s="60"/>
      <c r="O117" s="8"/>
    </row>
    <row r="118" s="7" customFormat="1">
      <c r="D118" s="60"/>
      <c r="E118" s="60"/>
      <c r="F118" s="61"/>
      <c r="G118" s="8"/>
      <c r="H118" s="60"/>
      <c r="I118" s="60"/>
      <c r="J118" s="60"/>
      <c r="K118" s="60"/>
      <c r="O118" s="8"/>
    </row>
    <row r="119" s="7" customFormat="1">
      <c r="D119" s="60"/>
      <c r="E119" s="60"/>
      <c r="F119" s="61"/>
      <c r="G119" s="8"/>
      <c r="H119" s="60"/>
      <c r="I119" s="60"/>
      <c r="J119" s="60"/>
      <c r="K119" s="60"/>
      <c r="O119" s="8"/>
    </row>
    <row r="120" s="7" customFormat="1">
      <c r="D120" s="60"/>
      <c r="E120" s="60"/>
      <c r="F120" s="61"/>
      <c r="G120" s="8"/>
      <c r="H120" s="60"/>
      <c r="I120" s="60"/>
      <c r="J120" s="60"/>
      <c r="K120" s="60"/>
      <c r="O120" s="8"/>
    </row>
    <row r="121" s="7" customFormat="1">
      <c r="D121" s="60"/>
      <c r="E121" s="60"/>
      <c r="F121" s="61"/>
      <c r="G121" s="8"/>
      <c r="H121" s="60"/>
      <c r="I121" s="60"/>
      <c r="J121" s="60"/>
      <c r="K121" s="60"/>
      <c r="O121" s="8"/>
    </row>
    <row r="122" s="7" customFormat="1">
      <c r="D122" s="60"/>
      <c r="E122" s="60"/>
      <c r="F122" s="61"/>
      <c r="G122" s="8"/>
      <c r="H122" s="60"/>
      <c r="I122" s="60"/>
      <c r="J122" s="60"/>
      <c r="K122" s="60"/>
      <c r="O122" s="8"/>
    </row>
    <row r="123" s="7" customFormat="1">
      <c r="D123" s="60"/>
      <c r="E123" s="60"/>
      <c r="F123" s="61"/>
      <c r="G123" s="8"/>
      <c r="H123" s="60"/>
      <c r="I123" s="60"/>
      <c r="J123" s="60"/>
      <c r="K123" s="60"/>
      <c r="O123" s="8"/>
    </row>
    <row r="124" s="7" customFormat="1">
      <c r="D124" s="60"/>
      <c r="E124" s="60"/>
      <c r="F124" s="61"/>
      <c r="G124" s="8"/>
      <c r="H124" s="60"/>
      <c r="I124" s="60"/>
      <c r="J124" s="60"/>
      <c r="K124" s="60"/>
      <c r="O124" s="8"/>
    </row>
    <row r="125" s="7" customFormat="1">
      <c r="D125" s="60"/>
      <c r="E125" s="60"/>
      <c r="F125" s="61"/>
      <c r="G125" s="8"/>
      <c r="H125" s="60"/>
      <c r="I125" s="60"/>
      <c r="J125" s="60"/>
      <c r="K125" s="60"/>
      <c r="O125" s="8"/>
    </row>
    <row r="126" s="7" customFormat="1">
      <c r="D126" s="60"/>
      <c r="E126" s="60"/>
      <c r="F126" s="61"/>
      <c r="G126" s="8"/>
      <c r="H126" s="60"/>
      <c r="I126" s="60"/>
      <c r="J126" s="60"/>
      <c r="K126" s="60"/>
      <c r="O126" s="8"/>
    </row>
    <row r="127" s="7" customFormat="1">
      <c r="D127" s="60"/>
      <c r="E127" s="60"/>
      <c r="F127" s="61"/>
      <c r="G127" s="8"/>
      <c r="H127" s="60"/>
      <c r="I127" s="60"/>
      <c r="J127" s="60"/>
      <c r="K127" s="60"/>
      <c r="O127" s="8"/>
    </row>
    <row r="128" s="7" customFormat="1">
      <c r="D128" s="60"/>
      <c r="E128" s="60"/>
      <c r="F128" s="61"/>
      <c r="G128" s="8"/>
      <c r="H128" s="60"/>
      <c r="I128" s="60"/>
      <c r="J128" s="60"/>
      <c r="K128" s="60"/>
      <c r="O128" s="8"/>
    </row>
    <row r="129" s="7" customFormat="1">
      <c r="D129" s="60"/>
      <c r="E129" s="60"/>
      <c r="F129" s="61"/>
      <c r="G129" s="8"/>
      <c r="H129" s="60"/>
      <c r="I129" s="60"/>
      <c r="J129" s="60"/>
      <c r="K129" s="60"/>
      <c r="O129" s="8"/>
    </row>
    <row r="130" s="7" customFormat="1">
      <c r="D130" s="60"/>
      <c r="E130" s="60"/>
      <c r="F130" s="61"/>
      <c r="G130" s="8"/>
      <c r="H130" s="60"/>
      <c r="I130" s="60"/>
      <c r="J130" s="60"/>
      <c r="K130" s="60"/>
      <c r="O130" s="8"/>
    </row>
    <row r="131" s="7" customFormat="1">
      <c r="D131" s="60"/>
      <c r="E131" s="60"/>
      <c r="F131" s="61"/>
      <c r="G131" s="8"/>
      <c r="H131" s="60"/>
      <c r="I131" s="60"/>
      <c r="J131" s="60"/>
      <c r="K131" s="60"/>
      <c r="O131" s="8"/>
    </row>
    <row r="132" s="7" customFormat="1">
      <c r="D132" s="60"/>
      <c r="E132" s="60"/>
      <c r="F132" s="61"/>
      <c r="G132" s="8"/>
      <c r="H132" s="60"/>
      <c r="I132" s="60"/>
      <c r="J132" s="60"/>
      <c r="K132" s="60"/>
      <c r="O132" s="8"/>
    </row>
    <row r="133" s="7" customFormat="1">
      <c r="D133" s="60"/>
      <c r="E133" s="60"/>
      <c r="F133" s="61"/>
      <c r="G133" s="8"/>
      <c r="H133" s="60"/>
      <c r="I133" s="60"/>
      <c r="J133" s="60"/>
      <c r="K133" s="60"/>
      <c r="O133" s="8"/>
    </row>
    <row r="134" s="7" customFormat="1">
      <c r="D134" s="60"/>
      <c r="E134" s="60"/>
      <c r="F134" s="61"/>
      <c r="G134" s="8"/>
      <c r="H134" s="60"/>
      <c r="I134" s="60"/>
      <c r="J134" s="60"/>
      <c r="K134" s="60"/>
      <c r="O134" s="8"/>
    </row>
    <row r="135" s="7" customFormat="1">
      <c r="D135" s="60"/>
      <c r="E135" s="60"/>
      <c r="F135" s="61"/>
      <c r="G135" s="8"/>
      <c r="H135" s="60"/>
      <c r="I135" s="60"/>
      <c r="J135" s="60"/>
      <c r="K135" s="60"/>
      <c r="O135" s="8"/>
    </row>
    <row r="136" s="7" customFormat="1">
      <c r="D136" s="60"/>
      <c r="E136" s="60"/>
      <c r="F136" s="61"/>
      <c r="G136" s="8"/>
      <c r="H136" s="60"/>
      <c r="I136" s="60"/>
      <c r="J136" s="60"/>
      <c r="K136" s="60"/>
      <c r="O136" s="8"/>
    </row>
    <row r="137" s="7" customFormat="1">
      <c r="D137" s="60"/>
      <c r="E137" s="60"/>
      <c r="F137" s="61"/>
      <c r="G137" s="8"/>
      <c r="H137" s="60"/>
      <c r="I137" s="60"/>
      <c r="J137" s="60"/>
      <c r="K137" s="60"/>
      <c r="O137" s="8"/>
    </row>
    <row r="138" s="7" customFormat="1">
      <c r="D138" s="60"/>
      <c r="E138" s="60"/>
      <c r="F138" s="61"/>
      <c r="G138" s="8"/>
      <c r="H138" s="60"/>
      <c r="I138" s="60"/>
      <c r="J138" s="60"/>
      <c r="K138" s="60"/>
      <c r="O138" s="8"/>
    </row>
    <row r="139" s="7" customFormat="1">
      <c r="D139" s="60"/>
      <c r="E139" s="60"/>
      <c r="F139" s="61"/>
      <c r="G139" s="8"/>
      <c r="H139" s="60"/>
      <c r="I139" s="60"/>
      <c r="J139" s="60"/>
      <c r="K139" s="60"/>
      <c r="O139" s="8"/>
    </row>
    <row r="140" s="7" customFormat="1">
      <c r="D140" s="60"/>
      <c r="E140" s="60"/>
      <c r="F140" s="61"/>
      <c r="G140" s="8"/>
      <c r="H140" s="60"/>
      <c r="I140" s="60"/>
      <c r="J140" s="60"/>
      <c r="K140" s="60"/>
      <c r="O140" s="8"/>
    </row>
    <row r="141" s="7" customFormat="1">
      <c r="D141" s="60"/>
      <c r="E141" s="60"/>
      <c r="F141" s="61"/>
      <c r="G141" s="8"/>
      <c r="H141" s="60"/>
      <c r="I141" s="60"/>
      <c r="J141" s="60"/>
      <c r="K141" s="60"/>
      <c r="O141" s="8"/>
    </row>
    <row r="142" s="7" customFormat="1">
      <c r="D142" s="60"/>
      <c r="E142" s="60"/>
      <c r="F142" s="61"/>
      <c r="G142" s="8"/>
      <c r="H142" s="60"/>
      <c r="I142" s="60"/>
      <c r="J142" s="60"/>
      <c r="K142" s="60"/>
      <c r="O142" s="8"/>
    </row>
    <row r="143" s="7" customFormat="1">
      <c r="D143" s="60"/>
      <c r="E143" s="60"/>
      <c r="F143" s="61"/>
      <c r="G143" s="8"/>
      <c r="H143" s="60"/>
      <c r="I143" s="60"/>
      <c r="J143" s="60"/>
      <c r="K143" s="60"/>
      <c r="O143" s="8"/>
    </row>
    <row r="144" s="7" customFormat="1">
      <c r="D144" s="60"/>
      <c r="E144" s="60"/>
      <c r="F144" s="61"/>
      <c r="G144" s="8"/>
      <c r="H144" s="60"/>
      <c r="I144" s="60"/>
      <c r="J144" s="60"/>
      <c r="K144" s="60"/>
      <c r="O144" s="8"/>
    </row>
    <row r="145" s="7" customFormat="1">
      <c r="D145" s="60"/>
      <c r="E145" s="60"/>
      <c r="F145" s="61"/>
      <c r="G145" s="8"/>
      <c r="H145" s="60"/>
      <c r="I145" s="60"/>
      <c r="J145" s="60"/>
      <c r="K145" s="60"/>
      <c r="O145" s="8"/>
    </row>
    <row r="146" s="7" customFormat="1">
      <c r="D146" s="60"/>
      <c r="E146" s="60"/>
      <c r="F146" s="61"/>
      <c r="G146" s="8"/>
      <c r="H146" s="60"/>
      <c r="I146" s="60"/>
      <c r="J146" s="60"/>
      <c r="K146" s="60"/>
      <c r="O146" s="8"/>
    </row>
    <row r="147" s="7" customFormat="1">
      <c r="D147" s="60"/>
      <c r="E147" s="60"/>
      <c r="F147" s="61"/>
      <c r="G147" s="8"/>
      <c r="H147" s="60"/>
      <c r="I147" s="60"/>
      <c r="J147" s="60"/>
      <c r="K147" s="60"/>
      <c r="O147" s="8"/>
    </row>
    <row r="148" s="7" customFormat="1">
      <c r="D148" s="60"/>
      <c r="E148" s="60"/>
      <c r="F148" s="61"/>
      <c r="G148" s="8"/>
      <c r="H148" s="60"/>
      <c r="I148" s="60"/>
      <c r="J148" s="60"/>
      <c r="K148" s="60"/>
      <c r="O148" s="8"/>
    </row>
    <row r="149" s="7" customFormat="1">
      <c r="D149" s="60"/>
      <c r="E149" s="60"/>
      <c r="F149" s="61"/>
      <c r="G149" s="8"/>
      <c r="H149" s="60"/>
      <c r="I149" s="60"/>
      <c r="J149" s="60"/>
      <c r="K149" s="60"/>
      <c r="O149" s="8"/>
    </row>
    <row r="150" s="7" customFormat="1">
      <c r="D150" s="60"/>
      <c r="E150" s="60"/>
      <c r="F150" s="61"/>
      <c r="G150" s="8"/>
      <c r="H150" s="60"/>
      <c r="I150" s="60"/>
      <c r="J150" s="60"/>
      <c r="K150" s="60"/>
      <c r="O150" s="8"/>
    </row>
    <row r="151" s="7" customFormat="1">
      <c r="D151" s="60"/>
      <c r="E151" s="60"/>
      <c r="F151" s="61"/>
      <c r="G151" s="8"/>
      <c r="H151" s="60"/>
      <c r="I151" s="60"/>
      <c r="J151" s="60"/>
      <c r="K151" s="60"/>
      <c r="O151" s="8"/>
    </row>
    <row r="152" s="7" customFormat="1">
      <c r="D152" s="60"/>
      <c r="E152" s="60"/>
      <c r="F152" s="61"/>
      <c r="G152" s="8"/>
      <c r="H152" s="60"/>
      <c r="I152" s="60"/>
      <c r="J152" s="60"/>
      <c r="K152" s="60"/>
      <c r="O152" s="8"/>
    </row>
    <row r="153" s="7" customFormat="1">
      <c r="D153" s="60"/>
      <c r="E153" s="60"/>
      <c r="F153" s="61"/>
      <c r="G153" s="8"/>
      <c r="H153" s="60"/>
      <c r="I153" s="60"/>
      <c r="J153" s="60"/>
      <c r="K153" s="60"/>
      <c r="O153" s="8"/>
    </row>
    <row r="154" s="7" customFormat="1">
      <c r="D154" s="60"/>
      <c r="E154" s="60"/>
      <c r="F154" s="61"/>
      <c r="G154" s="8"/>
      <c r="H154" s="60"/>
      <c r="I154" s="60"/>
      <c r="J154" s="60"/>
      <c r="K154" s="60"/>
      <c r="O154" s="8"/>
    </row>
    <row r="155" s="7" customFormat="1">
      <c r="D155" s="60"/>
      <c r="E155" s="60"/>
      <c r="F155" s="61"/>
      <c r="G155" s="8"/>
      <c r="H155" s="60"/>
      <c r="I155" s="60"/>
      <c r="J155" s="60"/>
      <c r="K155" s="60"/>
      <c r="O155" s="8"/>
    </row>
    <row r="156" s="7" customFormat="1">
      <c r="D156" s="60"/>
      <c r="E156" s="60"/>
      <c r="F156" s="61"/>
      <c r="G156" s="8"/>
      <c r="H156" s="60"/>
      <c r="I156" s="60"/>
      <c r="J156" s="60"/>
      <c r="K156" s="60"/>
      <c r="O156" s="8"/>
    </row>
    <row r="157" s="7" customFormat="1">
      <c r="D157" s="60"/>
      <c r="E157" s="60"/>
      <c r="F157" s="61"/>
      <c r="G157" s="8"/>
      <c r="H157" s="60"/>
      <c r="I157" s="60"/>
      <c r="J157" s="60"/>
      <c r="K157" s="60"/>
      <c r="O157" s="8"/>
    </row>
    <row r="158" s="7" customFormat="1">
      <c r="D158" s="60"/>
      <c r="E158" s="60"/>
      <c r="F158" s="61"/>
      <c r="G158" s="8"/>
      <c r="H158" s="60"/>
      <c r="I158" s="60"/>
      <c r="J158" s="60"/>
      <c r="K158" s="60"/>
      <c r="O158" s="8"/>
    </row>
    <row r="159" s="7" customFormat="1">
      <c r="D159" s="60"/>
      <c r="E159" s="60"/>
      <c r="F159" s="61"/>
      <c r="G159" s="8"/>
      <c r="H159" s="60"/>
      <c r="I159" s="60"/>
      <c r="J159" s="60"/>
      <c r="K159" s="60"/>
      <c r="O159" s="8"/>
    </row>
    <row r="160" s="7" customFormat="1">
      <c r="D160" s="60"/>
      <c r="E160" s="60"/>
      <c r="F160" s="61"/>
      <c r="G160" s="8"/>
      <c r="H160" s="60"/>
      <c r="I160" s="60"/>
      <c r="J160" s="60"/>
      <c r="K160" s="60"/>
      <c r="O160" s="8"/>
    </row>
    <row r="161" s="7" customFormat="1">
      <c r="D161" s="60"/>
      <c r="E161" s="60"/>
      <c r="F161" s="61"/>
      <c r="G161" s="8"/>
      <c r="H161" s="60"/>
      <c r="I161" s="60"/>
      <c r="J161" s="60"/>
      <c r="K161" s="60"/>
      <c r="O161" s="8"/>
    </row>
    <row r="162" s="7" customFormat="1">
      <c r="D162" s="60"/>
      <c r="E162" s="60"/>
      <c r="F162" s="61"/>
      <c r="G162" s="8"/>
      <c r="H162" s="60"/>
      <c r="I162" s="60"/>
      <c r="J162" s="60"/>
      <c r="K162" s="60"/>
      <c r="O162" s="8"/>
    </row>
    <row r="163" s="7" customFormat="1">
      <c r="D163" s="60"/>
      <c r="E163" s="60"/>
      <c r="F163" s="61"/>
      <c r="G163" s="8"/>
      <c r="H163" s="60"/>
      <c r="I163" s="60"/>
      <c r="J163" s="60"/>
      <c r="K163" s="60"/>
      <c r="O163" s="8"/>
    </row>
    <row r="164" s="7" customFormat="1">
      <c r="D164" s="60"/>
      <c r="E164" s="60"/>
      <c r="F164" s="61"/>
      <c r="G164" s="8"/>
      <c r="H164" s="60"/>
      <c r="I164" s="60"/>
      <c r="J164" s="60"/>
      <c r="K164" s="60"/>
      <c r="O164" s="8"/>
    </row>
    <row r="165" s="7" customFormat="1">
      <c r="D165" s="60"/>
      <c r="E165" s="60"/>
      <c r="F165" s="61"/>
      <c r="G165" s="8"/>
      <c r="H165" s="60"/>
      <c r="I165" s="60"/>
      <c r="J165" s="60"/>
      <c r="K165" s="60"/>
      <c r="O165" s="8"/>
    </row>
    <row r="166" s="7" customFormat="1">
      <c r="D166" s="60"/>
      <c r="E166" s="60"/>
      <c r="F166" s="61"/>
      <c r="G166" s="8"/>
      <c r="H166" s="60"/>
      <c r="I166" s="60"/>
      <c r="J166" s="60"/>
      <c r="K166" s="60"/>
      <c r="O166" s="8"/>
    </row>
    <row r="167" s="7" customFormat="1">
      <c r="D167" s="60"/>
      <c r="E167" s="60"/>
      <c r="F167" s="61"/>
      <c r="G167" s="8"/>
      <c r="H167" s="60"/>
      <c r="I167" s="60"/>
      <c r="J167" s="60"/>
      <c r="K167" s="60"/>
      <c r="O167" s="8"/>
    </row>
    <row r="168" s="7" customFormat="1">
      <c r="D168" s="60"/>
      <c r="E168" s="60"/>
      <c r="F168" s="61"/>
      <c r="G168" s="8"/>
      <c r="H168" s="60"/>
      <c r="I168" s="60"/>
      <c r="J168" s="60"/>
      <c r="K168" s="60"/>
      <c r="O168" s="8"/>
    </row>
    <row r="169" s="7" customFormat="1">
      <c r="D169" s="60"/>
      <c r="E169" s="60"/>
      <c r="F169" s="61"/>
      <c r="G169" s="8"/>
      <c r="H169" s="60"/>
      <c r="I169" s="60"/>
      <c r="J169" s="60"/>
      <c r="K169" s="60"/>
      <c r="O169" s="8"/>
    </row>
    <row r="170" s="7" customFormat="1">
      <c r="D170" s="60"/>
      <c r="E170" s="60"/>
      <c r="F170" s="61"/>
      <c r="G170" s="8"/>
      <c r="H170" s="60"/>
      <c r="I170" s="60"/>
      <c r="J170" s="60"/>
      <c r="K170" s="60"/>
      <c r="O170" s="8"/>
    </row>
    <row r="171" s="7" customFormat="1">
      <c r="D171" s="60"/>
      <c r="E171" s="60"/>
      <c r="F171" s="61"/>
      <c r="G171" s="8"/>
      <c r="H171" s="60"/>
      <c r="I171" s="60"/>
      <c r="J171" s="60"/>
      <c r="K171" s="60"/>
      <c r="O171" s="8"/>
    </row>
    <row r="172" s="7" customFormat="1">
      <c r="D172" s="60"/>
      <c r="E172" s="60"/>
      <c r="F172" s="61"/>
      <c r="G172" s="8"/>
      <c r="H172" s="60"/>
      <c r="I172" s="60"/>
      <c r="J172" s="60"/>
      <c r="K172" s="60"/>
      <c r="O172" s="8"/>
    </row>
    <row r="173" s="7" customFormat="1">
      <c r="D173" s="60"/>
      <c r="E173" s="60"/>
      <c r="F173" s="61"/>
      <c r="G173" s="8"/>
      <c r="H173" s="60"/>
      <c r="I173" s="60"/>
      <c r="J173" s="60"/>
      <c r="K173" s="60"/>
      <c r="O173" s="8"/>
    </row>
    <row r="174" s="7" customFormat="1">
      <c r="D174" s="60"/>
      <c r="E174" s="60"/>
      <c r="F174" s="61"/>
      <c r="G174" s="8"/>
      <c r="H174" s="60"/>
      <c r="I174" s="60"/>
      <c r="J174" s="60"/>
      <c r="K174" s="60"/>
      <c r="O174" s="8"/>
    </row>
    <row r="175" s="7" customFormat="1">
      <c r="D175" s="60"/>
      <c r="E175" s="60"/>
      <c r="F175" s="61"/>
      <c r="G175" s="8"/>
      <c r="H175" s="60"/>
      <c r="I175" s="60"/>
      <c r="J175" s="60"/>
      <c r="K175" s="60"/>
      <c r="O175" s="8"/>
    </row>
    <row r="176" s="7" customFormat="1">
      <c r="D176" s="60"/>
      <c r="E176" s="60"/>
      <c r="F176" s="61"/>
      <c r="G176" s="8"/>
      <c r="H176" s="60"/>
      <c r="I176" s="60"/>
      <c r="J176" s="60"/>
      <c r="K176" s="60"/>
      <c r="O176" s="8"/>
    </row>
    <row r="177" s="7" customFormat="1">
      <c r="D177" s="60"/>
      <c r="E177" s="60"/>
      <c r="F177" s="61"/>
      <c r="G177" s="8"/>
      <c r="H177" s="60"/>
      <c r="I177" s="60"/>
      <c r="J177" s="60"/>
      <c r="K177" s="60"/>
      <c r="O177" s="8"/>
    </row>
    <row r="178" s="7" customFormat="1">
      <c r="D178" s="60"/>
      <c r="E178" s="60"/>
      <c r="F178" s="61"/>
      <c r="G178" s="8"/>
      <c r="H178" s="60"/>
      <c r="I178" s="60"/>
      <c r="J178" s="60"/>
      <c r="K178" s="60"/>
      <c r="O178" s="8"/>
    </row>
    <row r="179" s="7" customFormat="1">
      <c r="D179" s="60"/>
      <c r="E179" s="60"/>
      <c r="F179" s="61"/>
      <c r="G179" s="8"/>
      <c r="H179" s="60"/>
      <c r="I179" s="60"/>
      <c r="J179" s="60"/>
      <c r="K179" s="60"/>
      <c r="O179" s="8"/>
    </row>
    <row r="180" s="7" customFormat="1">
      <c r="D180" s="60"/>
      <c r="E180" s="60"/>
      <c r="F180" s="61"/>
      <c r="G180" s="8"/>
      <c r="H180" s="60"/>
      <c r="I180" s="60"/>
      <c r="J180" s="60"/>
      <c r="K180" s="60"/>
      <c r="O180" s="8"/>
    </row>
    <row r="181" s="7" customFormat="1">
      <c r="D181" s="60"/>
      <c r="E181" s="60"/>
      <c r="F181" s="61"/>
      <c r="G181" s="8"/>
      <c r="H181" s="60"/>
      <c r="I181" s="60"/>
      <c r="J181" s="60"/>
      <c r="K181" s="60"/>
      <c r="O181" s="8"/>
    </row>
    <row r="182" s="7" customFormat="1">
      <c r="D182" s="60"/>
      <c r="E182" s="60"/>
      <c r="F182" s="61"/>
      <c r="G182" s="8"/>
      <c r="H182" s="60"/>
      <c r="I182" s="60"/>
      <c r="J182" s="60"/>
      <c r="K182" s="60"/>
      <c r="O182" s="8"/>
    </row>
    <row r="183" s="7" customFormat="1">
      <c r="D183" s="60"/>
      <c r="E183" s="60"/>
      <c r="F183" s="61"/>
      <c r="G183" s="8"/>
      <c r="H183" s="60"/>
      <c r="I183" s="60"/>
      <c r="J183" s="60"/>
      <c r="K183" s="60"/>
      <c r="O183" s="8"/>
    </row>
    <row r="184" s="7" customFormat="1">
      <c r="D184" s="60"/>
      <c r="E184" s="60"/>
      <c r="F184" s="61"/>
      <c r="G184" s="8"/>
      <c r="H184" s="60"/>
      <c r="I184" s="60"/>
      <c r="J184" s="60"/>
      <c r="K184" s="60"/>
      <c r="O184" s="8"/>
    </row>
    <row r="185" s="7" customFormat="1">
      <c r="D185" s="60"/>
      <c r="E185" s="60"/>
      <c r="F185" s="61"/>
      <c r="G185" s="8"/>
      <c r="H185" s="60"/>
      <c r="I185" s="60"/>
      <c r="J185" s="60"/>
      <c r="K185" s="60"/>
      <c r="O185" s="8"/>
    </row>
    <row r="186" s="7" customFormat="1">
      <c r="D186" s="60"/>
      <c r="E186" s="60"/>
      <c r="F186" s="61"/>
      <c r="G186" s="8"/>
      <c r="H186" s="60"/>
      <c r="I186" s="60"/>
      <c r="J186" s="60"/>
      <c r="K186" s="60"/>
      <c r="O186" s="8"/>
    </row>
    <row r="187" s="7" customFormat="1">
      <c r="D187" s="60"/>
      <c r="E187" s="60"/>
      <c r="F187" s="61"/>
      <c r="G187" s="8"/>
      <c r="H187" s="60"/>
      <c r="I187" s="60"/>
      <c r="J187" s="60"/>
      <c r="K187" s="60"/>
      <c r="O187" s="8"/>
    </row>
    <row r="188" s="7" customFormat="1">
      <c r="D188" s="60"/>
      <c r="E188" s="60"/>
      <c r="F188" s="61"/>
      <c r="G188" s="8"/>
      <c r="H188" s="60"/>
      <c r="I188" s="60"/>
      <c r="J188" s="60"/>
      <c r="K188" s="60"/>
      <c r="O188" s="8"/>
    </row>
    <row r="189" s="7" customFormat="1">
      <c r="D189" s="60"/>
      <c r="E189" s="60"/>
      <c r="F189" s="61"/>
      <c r="G189" s="8"/>
      <c r="H189" s="60"/>
      <c r="I189" s="60"/>
      <c r="J189" s="60"/>
      <c r="K189" s="60"/>
      <c r="O189" s="8"/>
    </row>
    <row r="190" s="7" customFormat="1">
      <c r="D190" s="60"/>
      <c r="E190" s="60"/>
      <c r="F190" s="61"/>
      <c r="G190" s="8"/>
      <c r="H190" s="60"/>
      <c r="I190" s="60"/>
      <c r="J190" s="60"/>
      <c r="K190" s="60"/>
      <c r="O190" s="8"/>
    </row>
    <row r="191" s="7" customFormat="1">
      <c r="D191" s="60"/>
      <c r="E191" s="60"/>
      <c r="F191" s="61"/>
      <c r="G191" s="8"/>
      <c r="H191" s="60"/>
      <c r="I191" s="60"/>
      <c r="J191" s="60"/>
      <c r="K191" s="60"/>
      <c r="O191" s="8"/>
    </row>
    <row r="192" s="7" customFormat="1">
      <c r="D192" s="60"/>
      <c r="E192" s="60"/>
      <c r="F192" s="61"/>
      <c r="G192" s="8"/>
      <c r="H192" s="60"/>
      <c r="I192" s="60"/>
      <c r="J192" s="60"/>
      <c r="K192" s="60"/>
      <c r="O192" s="8"/>
    </row>
    <row r="193" s="7" customFormat="1">
      <c r="D193" s="60"/>
      <c r="E193" s="60"/>
      <c r="F193" s="61"/>
      <c r="G193" s="8"/>
      <c r="H193" s="60"/>
      <c r="I193" s="60"/>
      <c r="J193" s="60"/>
      <c r="K193" s="60"/>
      <c r="O193" s="8"/>
    </row>
    <row r="194" s="7" customFormat="1">
      <c r="D194" s="60"/>
      <c r="E194" s="60"/>
      <c r="F194" s="61"/>
      <c r="G194" s="8"/>
      <c r="H194" s="60"/>
      <c r="I194" s="60"/>
      <c r="J194" s="60"/>
      <c r="K194" s="60"/>
      <c r="O194" s="8"/>
    </row>
  </sheetData>
  <sheetProtection algorithmName="SHA-512" hashValue="og0fsQcdotLs4vgQJVtbH90qqUE4X8QcIJNU7CD3m/rY3ltsN6gAJYWgna0e2gEG/vLavBfb6dCRDB91g36ZpQ==" saltValue="labbYrYLmKs20kOpEMj3gQ==" spinCount="100000" autoFilter="1" deleteColumns="1" deleteRows="1" formatCells="1" formatColumns="1" formatRows="1" insertColumns="1" insertHyperlinks="1" insertRows="1" objects="1" pivotTables="1" scenarios="1" selectLockedCells="0" selectUnlockedCells="0" sheet="1" sort="1"/>
  <mergeCells count="4">
    <mergeCell ref="A1:I1"/>
    <mergeCell ref="A2:I2"/>
    <mergeCell ref="L19:M19"/>
    <mergeCell ref="L20:M20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300" copies="1"/>
  <headerFooter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ab16</dc:creator>
  <cp:revision>1</cp:revision>
  <dcterms:created xsi:type="dcterms:W3CDTF">2025-11-10T10:37:30Z</dcterms:created>
  <dcterms:modified xsi:type="dcterms:W3CDTF">2026-04-05T15:47:19Z</dcterms:modified>
</cp:coreProperties>
</file>